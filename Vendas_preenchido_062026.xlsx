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69A221BD-E34F-471D-A30A-9F9183047EF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593" i="1" l="1"/>
  <c r="AK4592" i="1"/>
  <c r="AK4588" i="1"/>
  <c r="AK4587" i="1"/>
  <c r="AK4586" i="1"/>
  <c r="AK4583" i="1"/>
  <c r="AK4580" i="1"/>
  <c r="AK4579" i="1"/>
  <c r="AK4576" i="1"/>
  <c r="AK4575" i="1"/>
  <c r="AK4574" i="1"/>
  <c r="AK4573" i="1"/>
  <c r="AK4572" i="1"/>
  <c r="AK4276" i="1"/>
  <c r="AK4275" i="1"/>
  <c r="AK4229" i="1"/>
  <c r="AK4198" i="1"/>
  <c r="AK4194" i="1"/>
  <c r="AK4193" i="1"/>
  <c r="AK4192" i="1"/>
  <c r="AK4191" i="1"/>
  <c r="AK4190" i="1"/>
  <c r="AK3981" i="1"/>
  <c r="AK3951" i="1"/>
  <c r="AK3941" i="1"/>
  <c r="AK3920" i="1"/>
  <c r="AK3919" i="1"/>
  <c r="AK3827" i="1"/>
  <c r="AK3826" i="1"/>
  <c r="AK3817" i="1"/>
  <c r="AK3797" i="1"/>
  <c r="AK3796" i="1"/>
  <c r="AK3785" i="1"/>
  <c r="AK3783" i="1"/>
  <c r="AK3743" i="1"/>
  <c r="AK3717" i="1"/>
  <c r="AK3700" i="1"/>
  <c r="AK3638" i="1"/>
  <c r="AK3636" i="1"/>
  <c r="AK3612" i="1"/>
  <c r="AK3547" i="1"/>
  <c r="AK3540" i="1"/>
  <c r="AK3539" i="1"/>
  <c r="AK3459" i="1"/>
  <c r="AK3317" i="1"/>
  <c r="AK3276" i="1"/>
  <c r="AK3215" i="1"/>
  <c r="AK3158" i="1"/>
  <c r="AK3099" i="1"/>
  <c r="AK3085" i="1"/>
  <c r="AK3074" i="1"/>
  <c r="AK3036" i="1"/>
  <c r="AK3015" i="1"/>
  <c r="AK3014" i="1"/>
  <c r="AK3004" i="1"/>
  <c r="AK3003" i="1"/>
  <c r="AK3000" i="1"/>
  <c r="AK2999" i="1"/>
  <c r="AK2993" i="1"/>
  <c r="AK2667" i="1"/>
  <c r="AK2660" i="1"/>
  <c r="AK2659" i="1"/>
  <c r="AK2653" i="1"/>
  <c r="AK2515" i="1"/>
  <c r="AK2514" i="1"/>
  <c r="AK2493" i="1"/>
  <c r="AK2488" i="1"/>
  <c r="AK2351" i="1"/>
  <c r="AK2259" i="1"/>
  <c r="AK2218" i="1"/>
  <c r="AK2002" i="1"/>
  <c r="AK1961" i="1"/>
  <c r="AK1863" i="1"/>
  <c r="AK1862" i="1"/>
  <c r="AK1842" i="1"/>
  <c r="AK1841" i="1"/>
  <c r="AK1808" i="1"/>
  <c r="AK1807" i="1"/>
  <c r="AK1806" i="1"/>
  <c r="AK1793" i="1"/>
  <c r="AK1733" i="1"/>
  <c r="AK1732" i="1"/>
  <c r="AK1603" i="1"/>
  <c r="AK1568" i="1"/>
  <c r="AK1567" i="1"/>
  <c r="AK1554" i="1"/>
  <c r="AK1553" i="1"/>
  <c r="AK1513" i="1"/>
  <c r="AK1456" i="1"/>
  <c r="AK1391" i="1"/>
  <c r="AK1374" i="1"/>
  <c r="AK1324" i="1"/>
  <c r="AK1195" i="1"/>
  <c r="AK1131" i="1"/>
  <c r="AK1101" i="1"/>
  <c r="AK1099" i="1"/>
  <c r="AK1098" i="1"/>
  <c r="AK1094" i="1"/>
  <c r="AK1079" i="1"/>
  <c r="AK828" i="1"/>
  <c r="AK794" i="1"/>
  <c r="AK755" i="1"/>
  <c r="AK563" i="1"/>
  <c r="AK562" i="1"/>
  <c r="AK530" i="1"/>
  <c r="AK529" i="1"/>
  <c r="AK509" i="1"/>
  <c r="AK490" i="1"/>
  <c r="AK478" i="1"/>
  <c r="AK328" i="1"/>
  <c r="AK327" i="1"/>
  <c r="AK316" i="1"/>
  <c r="AK214" i="1"/>
  <c r="AK213" i="1"/>
  <c r="AK156" i="1"/>
  <c r="AK155" i="1"/>
  <c r="AK154" i="1"/>
  <c r="AK153" i="1"/>
  <c r="AK28" i="1"/>
  <c r="AL4593" i="1"/>
  <c r="AL4592" i="1"/>
  <c r="AL4588" i="1"/>
  <c r="AL4587" i="1"/>
  <c r="AL4579" i="1"/>
  <c r="AL4576" i="1"/>
  <c r="AL4575" i="1"/>
  <c r="AL4574" i="1"/>
  <c r="AL4573" i="1"/>
  <c r="AL4276" i="1"/>
  <c r="AL4275" i="1"/>
  <c r="AL4193" i="1"/>
  <c r="AL4192" i="1"/>
  <c r="AL4191" i="1"/>
  <c r="AL4190" i="1"/>
  <c r="AL3951" i="1"/>
  <c r="AL3920" i="1"/>
  <c r="AL3919" i="1"/>
  <c r="AL3827" i="1"/>
  <c r="AL3826" i="1"/>
  <c r="AL3797" i="1"/>
  <c r="AL3796" i="1"/>
  <c r="AL3785" i="1"/>
  <c r="AL3783" i="1"/>
  <c r="AL3743" i="1"/>
  <c r="AL3717" i="1"/>
  <c r="AL3700" i="1"/>
  <c r="AL3638" i="1"/>
  <c r="AL3636" i="1"/>
  <c r="AL3612" i="1"/>
  <c r="AL3547" i="1"/>
  <c r="AL3459" i="1"/>
  <c r="AL3317" i="1"/>
  <c r="AL3215" i="1"/>
  <c r="AL3158" i="1"/>
  <c r="AL3099" i="1"/>
  <c r="AL3085" i="1"/>
  <c r="AL3015" i="1"/>
  <c r="AL3014" i="1"/>
  <c r="AL3004" i="1"/>
  <c r="AL3003" i="1"/>
  <c r="AL3000" i="1"/>
  <c r="AL2999" i="1"/>
  <c r="AL2667" i="1"/>
  <c r="AL2653" i="1"/>
  <c r="AL2515" i="1"/>
  <c r="AL2514" i="1"/>
  <c r="AL2493" i="1"/>
  <c r="AL2259" i="1"/>
  <c r="AL2002" i="1"/>
  <c r="AL1862" i="1"/>
  <c r="AL1842" i="1"/>
  <c r="AL1841" i="1"/>
  <c r="AL1807" i="1"/>
  <c r="AL1806" i="1"/>
  <c r="AL1793" i="1"/>
  <c r="AL1733" i="1"/>
  <c r="AL1732" i="1"/>
  <c r="AL1568" i="1"/>
  <c r="AL1567" i="1"/>
  <c r="AL1554" i="1"/>
  <c r="AL1553" i="1"/>
  <c r="AL1456" i="1"/>
  <c r="AL1374" i="1"/>
  <c r="AL1101" i="1"/>
  <c r="AL1099" i="1"/>
  <c r="AL1098" i="1"/>
  <c r="AL755" i="1"/>
  <c r="AL563" i="1"/>
  <c r="AL562" i="1"/>
  <c r="AL530" i="1"/>
  <c r="AL529" i="1"/>
  <c r="AL478" i="1"/>
  <c r="AL328" i="1"/>
  <c r="AL327" i="1"/>
  <c r="AL316" i="1"/>
  <c r="AL214" i="1"/>
  <c r="AL213" i="1"/>
  <c r="AL152" i="1"/>
  <c r="AL153" i="1"/>
  <c r="AL154" i="1"/>
  <c r="AL155" i="1"/>
  <c r="AL156" i="1"/>
  <c r="AL151" i="1"/>
  <c r="AL4539" i="1"/>
  <c r="AL4540" i="1"/>
  <c r="AL4541" i="1"/>
  <c r="AL4542" i="1"/>
  <c r="AL4543" i="1"/>
  <c r="AL4544" i="1"/>
  <c r="AL4545" i="1"/>
  <c r="AL4546" i="1"/>
  <c r="AL4550" i="1"/>
  <c r="AL4551" i="1"/>
  <c r="AL4555" i="1"/>
  <c r="AL4556" i="1"/>
  <c r="AL4558" i="1"/>
  <c r="AL4566" i="1"/>
  <c r="AL4570" i="1"/>
  <c r="AL4571" i="1"/>
  <c r="AL4577" i="1"/>
  <c r="AL4578" i="1"/>
  <c r="AL4581" i="1"/>
  <c r="AL4582" i="1"/>
  <c r="AL4584" i="1"/>
  <c r="AL4585" i="1"/>
  <c r="AL4589" i="1"/>
  <c r="AL4590" i="1"/>
  <c r="AL4591" i="1"/>
  <c r="AL4594" i="1"/>
  <c r="AL4595" i="1"/>
  <c r="AL4596" i="1"/>
  <c r="AL4598" i="1"/>
  <c r="AL4599" i="1"/>
  <c r="AL4600" i="1"/>
  <c r="AL4601" i="1"/>
  <c r="AL4603" i="1"/>
  <c r="X4576" i="1"/>
  <c r="X4588" i="1"/>
  <c r="W4608" i="1"/>
  <c r="AL4608" i="1" s="1"/>
  <c r="W4607" i="1"/>
  <c r="AL4607" i="1" s="1"/>
  <c r="W4606" i="1"/>
  <c r="X4606" i="1" s="1"/>
  <c r="W4106" i="1"/>
  <c r="AL4106" i="1" s="1"/>
  <c r="W3744" i="1"/>
  <c r="AL3744" i="1" s="1"/>
  <c r="W2527" i="1"/>
  <c r="W2377" i="1"/>
  <c r="W2040" i="1"/>
  <c r="W4597" i="1"/>
  <c r="AK4597" i="1" s="1"/>
  <c r="W1294" i="1"/>
  <c r="W4602" i="1"/>
  <c r="X4602" i="1" s="1"/>
  <c r="AL4604" i="1"/>
  <c r="AL4605" i="1"/>
  <c r="AL4609" i="1"/>
  <c r="AL4610" i="1"/>
  <c r="AK4594" i="1"/>
  <c r="AK4595" i="1"/>
  <c r="AK4596" i="1"/>
  <c r="AK4598" i="1"/>
  <c r="AK4599" i="1"/>
  <c r="AK4600" i="1"/>
  <c r="AK4601" i="1"/>
  <c r="AK4603" i="1"/>
  <c r="AK4604" i="1"/>
  <c r="AK4605" i="1"/>
  <c r="AK4608" i="1"/>
  <c r="AK4609" i="1"/>
  <c r="AK4610" i="1"/>
  <c r="X4594" i="1"/>
  <c r="X4595" i="1"/>
  <c r="X4596" i="1"/>
  <c r="X4598" i="1"/>
  <c r="X4599" i="1"/>
  <c r="X4600" i="1"/>
  <c r="X4601" i="1"/>
  <c r="X4603" i="1"/>
  <c r="X4604" i="1"/>
  <c r="X4605" i="1"/>
  <c r="X4608" i="1"/>
  <c r="X4609" i="1"/>
  <c r="X4610" i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610" i="1"/>
  <c r="V4610" i="1" s="1"/>
  <c r="U4594" i="1"/>
  <c r="V4594" i="1" s="1"/>
  <c r="W3854" i="1"/>
  <c r="AL3854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1" i="1"/>
  <c r="W4190" i="1"/>
  <c r="X4191" i="1"/>
  <c r="X4190" i="1"/>
  <c r="X3951" i="1"/>
  <c r="X3612" i="1"/>
  <c r="X3317" i="1"/>
  <c r="X3215" i="1"/>
  <c r="X3158" i="1"/>
  <c r="X3099" i="1"/>
  <c r="X3085" i="1"/>
  <c r="X2653" i="1"/>
  <c r="X1862" i="1"/>
  <c r="W478" i="1"/>
  <c r="W1456" i="1"/>
  <c r="W755" i="1"/>
  <c r="X4587" i="1"/>
  <c r="X4575" i="1"/>
  <c r="W4579" i="1"/>
  <c r="W4573" i="1"/>
  <c r="X4573" i="1" s="1"/>
  <c r="X4579" i="1"/>
  <c r="X4593" i="1"/>
  <c r="X4193" i="1"/>
  <c r="X3920" i="1"/>
  <c r="X3797" i="1"/>
  <c r="X3785" i="1"/>
  <c r="X3015" i="1"/>
  <c r="X3004" i="1"/>
  <c r="X3000" i="1"/>
  <c r="X1807" i="1"/>
  <c r="W4593" i="1"/>
  <c r="W4193" i="1"/>
  <c r="W3920" i="1"/>
  <c r="W3797" i="1"/>
  <c r="W3785" i="1"/>
  <c r="W3015" i="1"/>
  <c r="W1807" i="1"/>
  <c r="W1733" i="1"/>
  <c r="X4592" i="1"/>
  <c r="X4192" i="1"/>
  <c r="X3919" i="1"/>
  <c r="X3796" i="1"/>
  <c r="X3783" i="1"/>
  <c r="X3014" i="1"/>
  <c r="X3003" i="1"/>
  <c r="X2999" i="1"/>
  <c r="X1806" i="1"/>
  <c r="W4592" i="1"/>
  <c r="W4192" i="1"/>
  <c r="W3919" i="1"/>
  <c r="W3796" i="1"/>
  <c r="W3783" i="1"/>
  <c r="W3014" i="1"/>
  <c r="W3003" i="1"/>
  <c r="W2999" i="1"/>
  <c r="W1806" i="1"/>
  <c r="W1732" i="1"/>
  <c r="W1099" i="1"/>
  <c r="W154" i="1"/>
  <c r="W153" i="1"/>
  <c r="X1733" i="1"/>
  <c r="X1456" i="1"/>
  <c r="X1374" i="1"/>
  <c r="X1099" i="1"/>
  <c r="X1098" i="1"/>
  <c r="X755" i="1"/>
  <c r="X478" i="1"/>
  <c r="X156" i="1"/>
  <c r="X155" i="1"/>
  <c r="X154" i="1"/>
  <c r="X153" i="1"/>
  <c r="X214" i="1"/>
  <c r="X213" i="1"/>
  <c r="X316" i="1"/>
  <c r="X327" i="1"/>
  <c r="W4584" i="1"/>
  <c r="W3107" i="1"/>
  <c r="W4591" i="1"/>
  <c r="AK4577" i="1"/>
  <c r="AK4578" i="1"/>
  <c r="AK4581" i="1"/>
  <c r="AK4582" i="1"/>
  <c r="AK4584" i="1"/>
  <c r="AK4585" i="1"/>
  <c r="AK4589" i="1"/>
  <c r="AK4590" i="1"/>
  <c r="AK4591" i="1"/>
  <c r="X4577" i="1"/>
  <c r="X4578" i="1"/>
  <c r="X4581" i="1"/>
  <c r="X4582" i="1"/>
  <c r="X4584" i="1"/>
  <c r="X4585" i="1"/>
  <c r="X4589" i="1"/>
  <c r="X4590" i="1"/>
  <c r="X4591" i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93" i="1"/>
  <c r="V4593" i="1" s="1"/>
  <c r="U4572" i="1"/>
  <c r="V4572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4" i="1"/>
  <c r="X4204" i="1" s="1"/>
  <c r="W2772" i="1"/>
  <c r="AK2772" i="1" s="1"/>
  <c r="W1232" i="1"/>
  <c r="AK1232" i="1" s="1"/>
  <c r="W808" i="1"/>
  <c r="AL808" i="1" s="1"/>
  <c r="U828" i="1"/>
  <c r="V828" i="1" s="1"/>
  <c r="W827" i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1" i="1"/>
  <c r="X4241" i="1" s="1"/>
  <c r="W4166" i="1"/>
  <c r="AL4166" i="1" s="1"/>
  <c r="W3924" i="1"/>
  <c r="W3917" i="1"/>
  <c r="X3917" i="1" s="1"/>
  <c r="W3583" i="1"/>
  <c r="W3304" i="1"/>
  <c r="AK3304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W1945" i="1"/>
  <c r="W1946" i="1"/>
  <c r="AL1946" i="1" s="1"/>
  <c r="AL4223" i="1"/>
  <c r="W2214" i="1"/>
  <c r="W2624" i="1"/>
  <c r="W2610" i="1"/>
  <c r="W2551" i="1"/>
  <c r="W1315" i="1"/>
  <c r="W3623" i="1"/>
  <c r="AL3623" i="1" s="1"/>
  <c r="W4546" i="1"/>
  <c r="X4546" i="1" s="1"/>
  <c r="AK4571" i="1"/>
  <c r="X4571" i="1"/>
  <c r="U4571" i="1"/>
  <c r="V4571" i="1" s="1"/>
  <c r="AK4546" i="1"/>
  <c r="AK4550" i="1"/>
  <c r="AK4551" i="1"/>
  <c r="AK4555" i="1"/>
  <c r="AK4556" i="1"/>
  <c r="AK4558" i="1"/>
  <c r="AK4566" i="1"/>
  <c r="W4561" i="1"/>
  <c r="X4561" i="1" s="1"/>
  <c r="W4568" i="1"/>
  <c r="AK4568" i="1" s="1"/>
  <c r="W4565" i="1"/>
  <c r="AK4565" i="1" s="1"/>
  <c r="W4563" i="1"/>
  <c r="X4563" i="1" s="1"/>
  <c r="W4560" i="1"/>
  <c r="X4560" i="1" s="1"/>
  <c r="W4554" i="1"/>
  <c r="X4554" i="1" s="1"/>
  <c r="W4548" i="1"/>
  <c r="X4548" i="1" s="1"/>
  <c r="W4567" i="1"/>
  <c r="X4567" i="1" s="1"/>
  <c r="W4564" i="1"/>
  <c r="X4564" i="1" s="1"/>
  <c r="W4562" i="1"/>
  <c r="X4562" i="1" s="1"/>
  <c r="W4559" i="1"/>
  <c r="AK4559" i="1" s="1"/>
  <c r="W4553" i="1"/>
  <c r="AK4553" i="1" s="1"/>
  <c r="W4547" i="1"/>
  <c r="X4547" i="1" s="1"/>
  <c r="W4552" i="1"/>
  <c r="AK4552" i="1" s="1"/>
  <c r="W4245" i="1"/>
  <c r="X4245" i="1" s="1"/>
  <c r="W3965" i="1"/>
  <c r="AL3965" i="1" s="1"/>
  <c r="AK4544" i="1"/>
  <c r="W4544" i="1"/>
  <c r="W3958" i="1"/>
  <c r="W2020" i="1"/>
  <c r="W1976" i="1"/>
  <c r="W1495" i="1"/>
  <c r="AL1495" i="1" s="1"/>
  <c r="W1032" i="1"/>
  <c r="AK4545" i="1"/>
  <c r="AL4049" i="1"/>
  <c r="AK4049" i="1"/>
  <c r="W4549" i="1"/>
  <c r="AK4549" i="1" s="1"/>
  <c r="W4411" i="1"/>
  <c r="AK4411" i="1" s="1"/>
  <c r="W3959" i="1"/>
  <c r="AK3959" i="1" s="1"/>
  <c r="W1641" i="1"/>
  <c r="AL1641" i="1" s="1"/>
  <c r="W983" i="1"/>
  <c r="X983" i="1" s="1"/>
  <c r="W564" i="1"/>
  <c r="X564" i="1" s="1"/>
  <c r="W385" i="1"/>
  <c r="X385" i="1" s="1"/>
  <c r="W4557" i="1"/>
  <c r="AL4557" i="1" s="1"/>
  <c r="W4434" i="1"/>
  <c r="AL4434" i="1" s="1"/>
  <c r="W4413" i="1"/>
  <c r="AK4413" i="1" s="1"/>
  <c r="W4242" i="1"/>
  <c r="X4242" i="1" s="1"/>
  <c r="W3918" i="1"/>
  <c r="W3584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9" i="1"/>
  <c r="AK4569" i="1" s="1"/>
  <c r="W4570" i="1"/>
  <c r="AK4570" i="1" s="1"/>
  <c r="X4544" i="1"/>
  <c r="X4545" i="1"/>
  <c r="X4550" i="1"/>
  <c r="X4551" i="1"/>
  <c r="X4555" i="1"/>
  <c r="X4556" i="1"/>
  <c r="X4558" i="1"/>
  <c r="X4566" i="1"/>
  <c r="X4570" i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70" i="1"/>
  <c r="V4570" i="1" s="1"/>
  <c r="U4544" i="1"/>
  <c r="V4544" i="1" s="1"/>
  <c r="AK4543" i="1"/>
  <c r="W4542" i="1"/>
  <c r="AK4542" i="1" s="1"/>
  <c r="U4543" i="1"/>
  <c r="V4543" i="1" s="1"/>
  <c r="X4542" i="1"/>
  <c r="X4543" i="1"/>
  <c r="U4542" i="1"/>
  <c r="V4542" i="1" s="1"/>
  <c r="W261" i="1"/>
  <c r="AL261" i="1" s="1"/>
  <c r="W4532" i="1"/>
  <c r="AK4532" i="1" s="1"/>
  <c r="W4531" i="1"/>
  <c r="AK4531" i="1" s="1"/>
  <c r="W4530" i="1"/>
  <c r="AK4530" i="1" s="1"/>
  <c r="AK4535" i="1"/>
  <c r="AL4535" i="1"/>
  <c r="AK4536" i="1"/>
  <c r="AL4536" i="1"/>
  <c r="AK4537" i="1"/>
  <c r="AL4537" i="1"/>
  <c r="AK4538" i="1"/>
  <c r="AL4538" i="1"/>
  <c r="AK4539" i="1"/>
  <c r="AK4540" i="1"/>
  <c r="AK4541" i="1"/>
  <c r="W2585" i="1"/>
  <c r="X2585" i="1" s="1"/>
  <c r="W2594" i="1"/>
  <c r="AL2594" i="1" s="1"/>
  <c r="W4534" i="1"/>
  <c r="X4534" i="1" s="1"/>
  <c r="W4533" i="1"/>
  <c r="AK4533" i="1" s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W4494" i="1"/>
  <c r="X4494" i="1" s="1"/>
  <c r="W4248" i="1"/>
  <c r="X4248" i="1" s="1"/>
  <c r="W4244" i="1"/>
  <c r="W4352" i="1"/>
  <c r="X4352" i="1" s="1"/>
  <c r="W4351" i="1"/>
  <c r="AK4351" i="1" s="1"/>
  <c r="W4369" i="1"/>
  <c r="AK4369" i="1" s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AK3533" i="1" s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W434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AK4506" i="1" s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W1501" i="1"/>
  <c r="AL1501" i="1" s="1"/>
  <c r="W1500" i="1"/>
  <c r="AL1500" i="1" s="1"/>
  <c r="W1261" i="1"/>
  <c r="AL1261" i="1" s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L4180" i="1"/>
  <c r="AK4180" i="1"/>
  <c r="AL4169" i="1"/>
  <c r="AK4169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80" i="1"/>
  <c r="X4169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AK2310" i="1" s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5" i="1"/>
  <c r="AL4435" i="1"/>
  <c r="AK4438" i="1"/>
  <c r="AL4438" i="1"/>
  <c r="AK4441" i="1"/>
  <c r="AL4441" i="1"/>
  <c r="AK4442" i="1"/>
  <c r="AL4442" i="1"/>
  <c r="W4432" i="1"/>
  <c r="X4432" i="1" s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AG4192" i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AG3919" i="1"/>
  <c r="W3891" i="1"/>
  <c r="AG3891" i="1" s="1"/>
  <c r="W3808" i="1"/>
  <c r="W3806" i="1"/>
  <c r="W3804" i="1"/>
  <c r="W3802" i="1"/>
  <c r="W3800" i="1"/>
  <c r="W3798" i="1"/>
  <c r="AG3798" i="1" s="1"/>
  <c r="W3794" i="1"/>
  <c r="AG3794" i="1" s="1"/>
  <c r="W3792" i="1"/>
  <c r="X3792" i="1" s="1"/>
  <c r="W3790" i="1"/>
  <c r="AK3790" i="1" s="1"/>
  <c r="W3788" i="1"/>
  <c r="W3786" i="1"/>
  <c r="AL3786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2" i="1"/>
  <c r="AL3012" i="1" s="1"/>
  <c r="W3010" i="1"/>
  <c r="AK3010" i="1" s="1"/>
  <c r="W3008" i="1"/>
  <c r="X3008" i="1" s="1"/>
  <c r="W3006" i="1"/>
  <c r="AK3006" i="1" s="1"/>
  <c r="AG3003" i="1"/>
  <c r="W3001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W4276" i="1"/>
  <c r="W4275" i="1"/>
  <c r="W156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5" i="1"/>
  <c r="AK4105" i="1"/>
  <c r="AL4084" i="1"/>
  <c r="AK4084" i="1"/>
  <c r="AL4079" i="1"/>
  <c r="AK4079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359" i="1"/>
  <c r="AL4359" i="1" s="1"/>
  <c r="X4318" i="1"/>
  <c r="W4404" i="1"/>
  <c r="AK4404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J3965" i="1"/>
  <c r="AF3965" i="1" s="1"/>
  <c r="AG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J3951" i="1"/>
  <c r="AF3951" i="1" s="1"/>
  <c r="AG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J3920" i="1"/>
  <c r="AF3920" i="1" s="1"/>
  <c r="AG3920" i="1"/>
  <c r="AJ3919" i="1"/>
  <c r="AF3919" i="1" s="1"/>
  <c r="AJ3918" i="1"/>
  <c r="AF3918" i="1" s="1"/>
  <c r="AJ3917" i="1"/>
  <c r="AF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J3854" i="1"/>
  <c r="AF3854" i="1" s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J3744" i="1"/>
  <c r="AF3744" i="1" s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J3623" i="1"/>
  <c r="AF3623" i="1" s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AJ3583" i="1"/>
  <c r="AF3583" i="1" s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J3533" i="1"/>
  <c r="AF3533" i="1" s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J3317" i="1"/>
  <c r="AF3317" i="1" s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J2993" i="1"/>
  <c r="AF2993" i="1" s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U156" i="1"/>
  <c r="V156" i="1" s="1"/>
  <c r="AJ155" i="1"/>
  <c r="AF155" i="1" s="1"/>
  <c r="W155" i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607" i="1" l="1"/>
  <c r="AL4569" i="1"/>
  <c r="AL4597" i="1"/>
  <c r="X4106" i="1"/>
  <c r="X1139" i="1"/>
  <c r="AL4564" i="1"/>
  <c r="AL4562" i="1"/>
  <c r="AK4106" i="1"/>
  <c r="X2636" i="1"/>
  <c r="AK4606" i="1"/>
  <c r="AL4561" i="1"/>
  <c r="AL4549" i="1"/>
  <c r="AL4606" i="1"/>
  <c r="AL4560" i="1"/>
  <c r="AL4548" i="1"/>
  <c r="AL4559" i="1"/>
  <c r="AL4547" i="1"/>
  <c r="AL4568" i="1"/>
  <c r="AL4602" i="1"/>
  <c r="AL4567" i="1"/>
  <c r="AL4554" i="1"/>
  <c r="AL4565" i="1"/>
  <c r="AL4553" i="1"/>
  <c r="AL4552" i="1"/>
  <c r="AK4607" i="1"/>
  <c r="AL4563" i="1"/>
  <c r="X3854" i="1"/>
  <c r="X4597" i="1"/>
  <c r="AK4602" i="1"/>
  <c r="AK1139" i="1"/>
  <c r="AL236" i="1"/>
  <c r="X237" i="1"/>
  <c r="AK237" i="1"/>
  <c r="AK2636" i="1"/>
  <c r="AK3854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6" i="1"/>
  <c r="X3623" i="1"/>
  <c r="AK3623" i="1"/>
  <c r="X4166" i="1"/>
  <c r="AK983" i="1"/>
  <c r="AK564" i="1"/>
  <c r="AL564" i="1"/>
  <c r="X2482" i="1"/>
  <c r="X4553" i="1"/>
  <c r="X4559" i="1"/>
  <c r="X4475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3" i="1"/>
  <c r="X4216" i="1"/>
  <c r="AK4557" i="1"/>
  <c r="AK4561" i="1"/>
  <c r="AK385" i="1"/>
  <c r="AL385" i="1"/>
  <c r="AK4563" i="1"/>
  <c r="AK4548" i="1"/>
  <c r="X4568" i="1"/>
  <c r="X4565" i="1"/>
  <c r="AK4562" i="1"/>
  <c r="AK4567" i="1"/>
  <c r="AK4560" i="1"/>
  <c r="AK4554" i="1"/>
  <c r="AK4547" i="1"/>
  <c r="AK4564" i="1"/>
  <c r="X1641" i="1"/>
  <c r="X4552" i="1"/>
  <c r="X3965" i="1"/>
  <c r="AK4245" i="1"/>
  <c r="AL4245" i="1"/>
  <c r="AK3965" i="1"/>
  <c r="X427" i="1"/>
  <c r="AL764" i="1"/>
  <c r="AK1641" i="1"/>
  <c r="AK1496" i="1"/>
  <c r="X1495" i="1"/>
  <c r="AK1495" i="1"/>
  <c r="X4569" i="1"/>
  <c r="AL2739" i="1"/>
  <c r="X2739" i="1"/>
  <c r="X1496" i="1"/>
  <c r="X4549" i="1"/>
  <c r="X4434" i="1"/>
  <c r="AK427" i="1"/>
  <c r="X764" i="1"/>
  <c r="AK261" i="1"/>
  <c r="AK4242" i="1"/>
  <c r="X2594" i="1"/>
  <c r="AL4242" i="1"/>
  <c r="AL4413" i="1"/>
  <c r="X4557" i="1"/>
  <c r="AK4434" i="1"/>
  <c r="AK2482" i="1"/>
  <c r="X2697" i="1"/>
  <c r="X2588" i="1"/>
  <c r="X1809" i="1"/>
  <c r="AK2588" i="1"/>
  <c r="AK2697" i="1"/>
  <c r="AK1809" i="1"/>
  <c r="X261" i="1"/>
  <c r="X4532" i="1"/>
  <c r="X3744" i="1"/>
  <c r="AK3744" i="1"/>
  <c r="X4530" i="1"/>
  <c r="AL4532" i="1"/>
  <c r="AK2585" i="1"/>
  <c r="AK2594" i="1"/>
  <c r="X4522" i="1"/>
  <c r="AL2585" i="1"/>
  <c r="AL4531" i="1"/>
  <c r="X4531" i="1"/>
  <c r="AL4530" i="1"/>
  <c r="AK4494" i="1"/>
  <c r="X4533" i="1"/>
  <c r="AL4494" i="1"/>
  <c r="AL4534" i="1"/>
  <c r="AK4534" i="1"/>
  <c r="AL4533" i="1"/>
  <c r="AL4369" i="1"/>
  <c r="X4369" i="1"/>
  <c r="AL4352" i="1"/>
  <c r="AK4352" i="1"/>
  <c r="AL4351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12" i="1"/>
  <c r="AK457" i="1"/>
  <c r="AK930" i="1"/>
  <c r="AL1827" i="1"/>
  <c r="AK1776" i="1"/>
  <c r="AL3463" i="1"/>
  <c r="X1347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661" i="1"/>
  <c r="X1478" i="1"/>
  <c r="X1481" i="1"/>
  <c r="X1779" i="1"/>
  <c r="X4141" i="1"/>
  <c r="AK1973" i="1"/>
  <c r="AK2499" i="1"/>
  <c r="AK2502" i="1"/>
  <c r="AK2505" i="1"/>
  <c r="X2747" i="1"/>
  <c r="AK2977" i="1"/>
  <c r="AK3465" i="1"/>
  <c r="X4253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<sst xmlns="http://schemas.openxmlformats.org/spreadsheetml/2006/main" count="61173" uniqueCount="3517">
  <si>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</si>
  <si>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</si>
  <si>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</si>
  <si>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</si>
  <si>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</si>
  <si>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</si>
  <si>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</si>
  <si>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</si>
  <si>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</si>
  <si>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</si>
  <si>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</si>
  <si>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</si>
  <si>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</si>
  <si>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</si>
  <si>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</si>
  <si>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</si>
  <si>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</si>
  <si>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</si>
  <si>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</si>
  <si>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</si>
  <si>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</si>
  <si>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</si>
  <si>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</si>
  <si>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</si>
  <si>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</si>
  <si>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</si>
  <si>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</si>
  <si>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</si>
  <si>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</si>
  <si>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</si>
  <si>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</si>
  <si>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</si>
  <si>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</si>
  <si>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</si>
  <si>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</si>
  <si>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</si>
  <si>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</si>
  <si>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</si>
  <si>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</si>
  <si>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</si>
  <si>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</si>
  <si>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</si>
  <si>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</si>
  <si>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</si>
  <si>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</si>
  <si>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</si>
  <si>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</si>
  <si>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</si>
  <si>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</si>
  <si>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</si>
  <si>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</si>
  <si>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</si>
  <si>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</si>
  <si>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</si>
  <si>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</si>
  <si>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</si>
  <si>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</si>
  <si>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</si>
  <si>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</si>
  <si>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</si>
  <si>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</si>
  <si>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</si>
  <si>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</si>
  <si>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</si>
  <si>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</si>
  <si>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</si>
  <si>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</si>
  <si>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</si>
  <si>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</si>
  <si>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</si>
  <si>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</si>
  <si>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</si>
  <si>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</si>
  <si>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</si>
  <si>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</si>
  <si>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</si>
  <si>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</si>
  <si>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</si>
  <si>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</si>
  <si>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</si>
  <si>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</si>
  <si>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</si>
  <si>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</si>
  <si>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</si>
  <si>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</si>
  <si>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</si>
  <si>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</si>
  <si>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</si>
  <si>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</si>
  <si>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</si>
  <si>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</si>
  <si>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</si>
  <si>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</si>
  <si>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</si>
  <si>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</si>
  <si>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</si>
  <si>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</si>
  <si>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</si>
  <si>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</si>
  <si>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</si>
  <si>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</si>
  <si>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</si>
  <si>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</si>
  <si>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</si>
  <si>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</si>
  <si>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</si>
  <si>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</si>
  <si>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</si>
  <si>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</si>
  <si>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</si>
  <si>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</si>
  <si>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</si>
  <si>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</si>
  <si>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</si>
  <si>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</si>
  <si>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</si>
  <si>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</si>
  <si>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</si>
  <si>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</si>
  <si>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</si>
  <si>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</si>
  <si>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</si>
  <si>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</si>
  <si>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</si>
  <si>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</si>
  <si>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</si>
  <si>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</si>
  <si>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</si>
  <si>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</si>
  <si>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</si>
  <si>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</si>
  <si>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</si>
  <si>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</si>
  <si>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</si>
  <si>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</si>
  <si>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</si>
  <si>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</si>
  <si>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</si>
  <si>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</si>
  <si>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</si>
  <si>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</si>
  <si>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</si>
  <si>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</si>
  <si>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</si>
  <si>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</si>
  <si>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</si>
  <si>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</si>
  <si>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</si>
  <si>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</si>
  <si>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</si>
  <si>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</si>
  <si>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</si>
  <si>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</si>
  <si>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</si>
  <si>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</si>
  <si>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</si>
  <si>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</si>
  <si>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</si>
  <si>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</si>
  <si>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</si>
  <si>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</si>
  <si>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</si>
  <si>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</si>
  <si>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</si>
  <si>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</si>
  <si>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</si>
  <si>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</si>
  <si>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</si>
  <si>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</si>
  <si>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</si>
  <si>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</si>
  <si>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</si>
  <si>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</si>
  <si>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</si>
  <si>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</si>
  <si>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</si>
  <si>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</si>
  <si>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</si>
  <si>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</si>
  <si>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</si>
  <si>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</si>
  <si>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</si>
  <si>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</si>
  <si>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</si>
  <si>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</si>
  <si>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</si>
  <si>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</si>
  <si>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</si>
  <si>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</si>
  <si>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</si>
  <si>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</si>
  <si>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</si>
  <si>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</si>
  <si>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</si>
  <si>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</si>
  <si>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</si>
  <si>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</si>
  <si>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</si>
  <si>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</si>
  <si>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</si>
  <si>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</si>
  <si>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</si>
  <si>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</si>
  <si>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</si>
  <si>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</si>
  <si>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</si>
  <si>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</si>
  <si>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</si>
  <si>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</si>
  <si>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</si>
  <si>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</si>
  <si>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</si>
  <si>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</si>
  <si>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</si>
  <si>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</si>
  <si>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</si>
  <si>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</si>
  <si>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</si>
  <si>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</si>
  <si>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</si>
  <si>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</si>
  <si>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</si>
  <si>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</si>
  <si>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</si>
  <si>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</si>
  <si>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</si>
  <si>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</si>
  <si>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</si>
  <si>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</si>
  <si>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</si>
  <si>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</si>
  <si>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</si>
  <si>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</si>
  <si>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</si>
  <si>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</si>
  <si>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</si>
  <si>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</si>
  <si>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</si>
  <si>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</si>
  <si>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</si>
  <si>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</si>
  <si>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</si>
  <si>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</si>
  <si>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</si>
  <si>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</si>
  <si>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</si>
  <si>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</si>
  <si>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</si>
  <si>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</si>
  <si>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</si>
  <si>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</si>
  <si>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</si>
  <si>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</si>
  <si>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</si>
  <si>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</si>
  <si>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</si>
  <si>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</si>
  <si>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</si>
  <si>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</si>
  <si>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</si>
  <si>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</si>
  <si>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</si>
  <si>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</si>
  <si>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</si>
  <si>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</si>
  <si>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</si>
  <si>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</si>
  <si>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</si>
  <si>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</si>
  <si>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</si>
  <si>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</si>
  <si>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</si>
  <si>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</si>
  <si>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</si>
  <si>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</si>
  <si>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</si>
  <si>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</si>
  <si>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</si>
  <si>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</si>
  <si>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</si>
  <si>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</si>
  <si>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</si>
  <si>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</si>
  <si>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</si>
  <si>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</si>
  <si>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</si>
  <si>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</si>
  <si>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</si>
  <si>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</si>
  <si>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</si>
  <si>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</si>
  <si>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</si>
  <si>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</si>
  <si>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</si>
  <si>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</si>
  <si>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</si>
  <si>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</si>
  <si>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</si>
  <si>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</si>
  <si>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</si>
  <si>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</si>
  <si>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</si>
  <si>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</si>
  <si>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</si>
  <si>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</si>
  <si>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</si>
  <si>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</si>
  <si>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</si>
  <si>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</si>
  <si>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</si>
  <si>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</si>
  <si>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</si>
  <si>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</si>
  <si>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</si>
  <si>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</si>
  <si>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</si>
  <si>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</si>
  <si>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</si>
  <si>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</si>
  <si>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</si>
  <si>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</si>
  <si>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</si>
  <si>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</si>
  <si>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</si>
  <si>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</si>
  <si>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</si>
  <si>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</si>
  <si>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</si>
  <si>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</si>
  <si>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</si>
  <si>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</si>
  <si>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</si>
  <si>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</si>
  <si>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</si>
  <si>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</si>
  <si>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</si>
  <si>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</si>
  <si>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</si>
  <si>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</si>
  <si>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</si>
  <si>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</si>
  <si>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</si>
  <si>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</si>
  <si>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</si>
  <si>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</si>
  <si>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</si>
  <si>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</si>
  <si>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</si>
  <si>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</si>
  <si>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</si>
  <si>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</si>
  <si>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</si>
  <si>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</si>
  <si>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</si>
  <si>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</si>
  <si>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</si>
  <si>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</si>
  <si>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</si>
  <si>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</si>
  <si>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</si>
  <si>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</si>
  <si>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</si>
  <si>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</si>
  <si>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</si>
  <si>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</si>
  <si>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</si>
  <si>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</si>
  <si>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</si>
  <si>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</si>
  <si>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</si>
  <si>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</si>
  <si>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</si>
  <si>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</si>
  <si>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</si>
  <si>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</si>
  <si>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</si>
  <si>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</si>
  <si>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</si>
  <si>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</si>
  <si>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</si>
  <si>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</si>
  <si>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</si>
  <si>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</si>
  <si>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</si>
  <si>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</si>
  <si>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</si>
  <si>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</si>
  <si>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</si>
  <si>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</si>
  <si>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</si>
  <si>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</si>
  <si>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</si>
  <si>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</si>
  <si>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</si>
  <si>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</si>
  <si>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</si>
  <si>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</si>
  <si>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</si>
  <si>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</si>
  <si>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</si>
  <si>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</si>
  <si>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</si>
  <si>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</si>
  <si>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</si>
  <si>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</si>
  <si>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</si>
  <si>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</si>
  <si>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</si>
  <si>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</si>
  <si>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</si>
  <si>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</si>
  <si>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</si>
  <si>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</si>
  <si>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</si>
  <si>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</si>
  <si>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</si>
  <si>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</si>
  <si>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</si>
  <si>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</si>
  <si>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</si>
  <si>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</si>
  <si>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</si>
  <si>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</si>
  <si>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</si>
  <si>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</si>
  <si>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</si>
  <si>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</si>
  <si>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</si>
  <si>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</si>
  <si>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</si>
  <si>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</si>
  <si>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</si>
  <si>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</si>
  <si>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</si>
  <si>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</si>
  <si>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</si>
  <si>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</si>
  <si>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</si>
  <si>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</si>
  <si>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</si>
  <si>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</si>
  <si>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</si>
  <si>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</si>
  <si>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</si>
  <si>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</si>
  <si>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</si>
  <si>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</si>
  <si>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</si>
  <si>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</si>
  <si>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</si>
  <si>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</si>
  <si>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</si>
  <si>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</si>
  <si>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</si>
  <si>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</si>
  <si>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</si>
  <si>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</si>
  <si>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</si>
  <si>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</si>
  <si>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</si>
  <si>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</si>
  <si>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</si>
  <si>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</si>
  <si>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</si>
  <si>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</si>
  <si>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</si>
  <si>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</si>
  <si>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</si>
  <si>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</si>
  <si>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</si>
  <si>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</si>
  <si>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</si>
  <si>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</si>
  <si>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</si>
  <si>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</si>
  <si>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</si>
  <si>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</si>
  <si>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</si>
  <si>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</si>
  <si>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</si>
  <si>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</si>
  <si>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</si>
  <si>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</si>
  <si>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</si>
  <si>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</si>
  <si>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</si>
  <si>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</si>
  <si>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</si>
  <si>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</si>
  <si>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</si>
  <si>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</si>
  <si>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</si>
  <si>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</si>
  <si>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</si>
  <si>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</si>
  <si>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</si>
  <si>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</si>
  <si>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</si>
  <si>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</si>
  <si>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</si>
  <si>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</si>
  <si>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</si>
  <si>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</si>
  <si>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</si>
  <si>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</si>
  <si>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</si>
  <si>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</si>
  <si>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</si>
  <si>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</si>
  <si>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</si>
  <si>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</si>
  <si>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</si>
  <si>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</si>
  <si>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</si>
  <si>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</si>
  <si>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</si>
  <si>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</si>
  <si>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</si>
  <si>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</si>
  <si>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</si>
  <si>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</si>
  <si>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</si>
  <si>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</si>
  <si>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</si>
  <si>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</si>
  <si>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</si>
  <si>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</si>
  <si>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</si>
  <si>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</si>
  <si>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</si>
  <si>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</si>
  <si>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</si>
  <si>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</si>
  <si>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</si>
  <si>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</si>
  <si>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</si>
  <si>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</si>
  <si>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</si>
  <si>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</si>
  <si>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</si>
  <si>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</si>
  <si>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</si>
  <si>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</si>
  <si>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</si>
  <si>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</si>
  <si>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</si>
  <si>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</si>
  <si>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</si>
  <si>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</si>
  <si>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</si>
  <si>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</si>
  <si>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</si>
  <si>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</si>
  <si>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</si>
  <si>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</si>
  <si>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</si>
  <si>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</si>
  <si>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</si>
  <si>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</si>
  <si>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</si>
  <si>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</si>
  <si>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</si>
  <si>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</si>
  <si>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</si>
  <si>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</si>
  <si>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</si>
  <si>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</si>
  <si>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</si>
  <si>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</si>
  <si>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</si>
  <si>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</si>
  <si>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</si>
  <si>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</si>
  <si>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</si>
  <si>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</si>
  <si>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</si>
  <si>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</si>
  <si>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</si>
  <si>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</si>
  <si>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</si>
  <si>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</si>
  <si>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</si>
  <si>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</si>
  <si>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</si>
  <si>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</si>
  <si>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</si>
  <si>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</si>
  <si>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</si>
  <si>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</si>
  <si>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</si>
  <si>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</si>
  <si>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</si>
  <si>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</si>
  <si>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</si>
  <si>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</si>
  <si>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</si>
  <si>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</si>
  <si>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</si>
  <si>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</si>
  <si>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</si>
  <si>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</si>
  <si>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</si>
  <si>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</si>
  <si>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</si>
  <si>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</si>
  <si>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</si>
  <si>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</si>
  <si>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</si>
  <si>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</si>
  <si>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</si>
  <si>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</si>
  <si>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</si>
  <si>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</si>
  <si>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</si>
  <si>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</si>
  <si>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</si>
  <si>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</si>
  <si>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</si>
  <si>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</si>
  <si>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</si>
  <si>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</si>
  <si>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</si>
  <si>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</si>
  <si>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</si>
  <si>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</si>
  <si>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</si>
  <si>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</si>
  <si>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</si>
  <si>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</si>
  <si>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</si>
  <si>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</si>
  <si>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</si>
  <si>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</si>
  <si>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</si>
  <si>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</si>
  <si>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</si>
  <si>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</si>
  <si>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</si>
  <si>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</si>
  <si>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</si>
  <si>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</si>
  <si>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</si>
  <si>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</si>
  <si>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</si>
  <si>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</si>
  <si>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</si>
  <si>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</si>
  <si>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</si>
  <si>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</si>
  <si>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</si>
  <si>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</si>
  <si>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</si>
  <si>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</si>
  <si>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</si>
  <si>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</si>
  <si>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</si>
  <si>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</si>
  <si>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</si>
  <si>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</si>
  <si>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</si>
  <si>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</si>
  <si>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</si>
  <si>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</si>
  <si>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</si>
  <si>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</si>
  <si>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</si>
  <si>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</si>
  <si>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</si>
  <si>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</si>
  <si>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</si>
  <si>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</si>
  <si>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</si>
  <si>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</si>
  <si>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</si>
  <si>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</si>
  <si>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</si>
  <si>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</si>
  <si>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</si>
  <si>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</si>
  <si>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</si>
  <si>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</si>
  <si>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</si>
  <si>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</si>
  <si>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</si>
  <si>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</si>
  <si>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</si>
  <si>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</si>
  <si>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</si>
  <si>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</si>
  <si>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</si>
  <si>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</si>
  <si>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</si>
  <si>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</si>
  <si>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</si>
  <si>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</si>
  <si>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</si>
  <si>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</si>
  <si>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</si>
  <si>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</si>
  <si>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</si>
  <si>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</si>
  <si>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</si>
  <si>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</si>
  <si>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</si>
  <si>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</si>
  <si>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</si>
  <si>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</si>
  <si>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</si>
  <si>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</si>
  <si>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</si>
  <si>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</si>
  <si>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</si>
  <si>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</si>
  <si>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</si>
  <si>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</si>
  <si>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</si>
  <si>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</si>
  <si>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</si>
  <si>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</si>
  <si>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</si>
  <si>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</si>
  <si>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</si>
  <si>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</si>
  <si>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</si>
  <si>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</si>
  <si>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</si>
  <si>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</si>
  <si>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</si>
  <si>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</si>
  <si>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</si>
  <si>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</si>
  <si>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</si>
  <si>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</si>
  <si>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</si>
  <si>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</si>
  <si>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</si>
  <si>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</si>
  <si>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</si>
  <si>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</si>
  <si>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</si>
  <si>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</si>
  <si>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</si>
  <si>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</si>
  <si>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</si>
  <si>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</si>
  <si>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</si>
  <si>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</si>
  <si>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</si>
  <si>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</si>
  <si>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</si>
  <si>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</si>
  <si>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</si>
  <si>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</si>
  <si>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</si>
  <si>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</si>
  <si>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</si>
  <si>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</si>
  <si>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</si>
  <si>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</si>
  <si>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</si>
  <si>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</si>
  <si>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</si>
  <si>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</si>
  <si>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</si>
  <si>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</si>
  <si>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</si>
  <si>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</si>
  <si>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</si>
  <si>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</si>
  <si>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</si>
  <si>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</si>
  <si>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</si>
  <si>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</si>
  <si>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</si>
  <si>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</si>
  <si>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</si>
  <si>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</si>
  <si>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</si>
  <si>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</si>
  <si>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</si>
  <si>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</si>
  <si>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</si>
  <si>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</si>
  <si>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</si>
  <si>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</si>
  <si>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</si>
  <si>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</si>
  <si>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</si>
  <si>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</si>
  <si>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</si>
  <si>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</si>
  <si>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</si>
  <si>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</si>
  <si>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</si>
  <si>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</si>
  <si>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</si>
  <si>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</si>
  <si>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</si>
  <si>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</si>
  <si>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</si>
  <si>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</si>
  <si>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</si>
  <si>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</si>
  <si>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</si>
  <si>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</si>
  <si>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</si>
  <si>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</si>
  <si>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</si>
  <si>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</si>
  <si>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</si>
  <si>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</si>
  <si>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</si>
  <si>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</si>
  <si>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</si>
  <si>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</si>
  <si>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</si>
  <si>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</si>
  <si>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</si>
  <si>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</si>
  <si>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</si>
  <si>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</si>
  <si>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</si>
  <si>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</si>
  <si>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</si>
  <si>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</si>
  <si>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</si>
  <si>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</si>
  <si>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</si>
  <si>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</si>
  <si>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</si>
  <si>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</si>
  <si>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</si>
  <si>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</si>
  <si>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</si>
  <si>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</si>
  <si>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</si>
  <si>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</si>
  <si>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</si>
  <si>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</si>
  <si>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</si>
  <si>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</si>
  <si>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</si>
  <si>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</si>
  <si>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</si>
  <si>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</si>
  <si>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</si>
  <si>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</si>
  <si>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</si>
  <si>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</si>
  <si>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</si>
  <si>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</si>
  <si>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</si>
  <si>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</si>
  <si>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</si>
  <si>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</si>
  <si>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</si>
  <si>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</si>
  <si>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</si>
  <si>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</si>
  <si>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</si>
  <si>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</si>
  <si>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</si>
  <si>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</si>
  <si>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</si>
  <si>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</si>
  <si>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</si>
  <si>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</si>
  <si>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</si>
  <si>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</si>
  <si>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</si>
  <si>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</si>
  <si>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</si>
  <si>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</si>
  <si>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</si>
  <si>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</si>
  <si>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</si>
  <si>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</si>
  <si>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</si>
  <si>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</si>
  <si>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</si>
  <si>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</si>
  <si>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</si>
  <si>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</si>
  <si>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</si>
  <si>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</si>
  <si>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</si>
  <si>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</si>
  <si>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</si>
  <si>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</si>
  <si>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</si>
  <si>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</si>
  <si>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</si>
  <si>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</si>
  <si>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</si>
  <si>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</si>
  <si>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</si>
  <si>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</si>
  <si>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</si>
  <si>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</si>
  <si>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</si>
  <si>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</si>
  <si>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</si>
  <si>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</si>
  <si>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</si>
  <si>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</si>
  <si>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</si>
  <si>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</si>
  <si>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</si>
  <si>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</si>
  <si>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</si>
  <si>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</si>
  <si>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</si>
  <si>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</si>
  <si>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</si>
  <si>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</si>
  <si>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</si>
  <si>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</si>
  <si>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</si>
  <si>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</si>
  <si>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</si>
  <si>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</si>
  <si>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</si>
  <si>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</si>
  <si>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</si>
  <si>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</si>
  <si>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</si>
  <si>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</si>
  <si>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</si>
  <si>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</si>
  <si>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</si>
  <si>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</si>
  <si>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</si>
  <si>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</si>
  <si>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</si>
  <si>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</si>
  <si>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</si>
  <si>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</si>
  <si>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</si>
  <si>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</si>
  <si>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</si>
  <si>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</si>
  <si>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</si>
  <si>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</si>
  <si>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</si>
  <si>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</si>
  <si>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</si>
  <si>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</si>
  <si>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</si>
  <si>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</si>
  <si>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</si>
  <si>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</si>
  <si>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</si>
  <si>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</si>
  <si>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</si>
  <si>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</si>
  <si>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</si>
  <si>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</si>
  <si>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</si>
  <si>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</si>
  <si>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</si>
  <si>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</si>
  <si>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</si>
  <si>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</si>
  <si>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</si>
  <si>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</si>
  <si>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</si>
  <si>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</si>
  <si>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</si>
  <si>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</si>
  <si>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</si>
  <si>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</si>
  <si>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</si>
  <si>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</si>
  <si>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</si>
  <si>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</si>
  <si>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</si>
  <si>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</si>
  <si>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</si>
  <si>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</si>
  <si>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</si>
  <si>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</si>
  <si>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</si>
  <si>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</si>
  <si>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</si>
  <si>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</si>
  <si>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</si>
  <si>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</si>
  <si>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</si>
  <si>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</si>
  <si>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</si>
  <si>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</si>
  <si>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</si>
  <si>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</si>
  <si>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</si>
  <si>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</si>
  <si>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</si>
  <si>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</si>
  <si>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</si>
  <si>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</si>
  <si>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</si>
  <si>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</si>
  <si>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</si>
  <si>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</si>
  <si>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</si>
  <si>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</si>
  <si>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</si>
  <si>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</si>
  <si>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</si>
  <si>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</si>
  <si>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</si>
  <si>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</si>
  <si>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</si>
  <si>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</si>
  <si>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</si>
  <si>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</si>
  <si>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</si>
  <si>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</si>
  <si>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</si>
  <si>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</si>
  <si>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</si>
  <si>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</si>
  <si>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</si>
  <si>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</si>
  <si>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</si>
  <si>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</si>
  <si>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</si>
  <si>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</si>
  <si>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</si>
  <si>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</si>
  <si>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</si>
  <si>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</si>
  <si>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</si>
  <si>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</si>
  <si>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</si>
  <si>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</si>
  <si>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</si>
  <si>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</si>
  <si>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</si>
  <si>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</si>
  <si>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</si>
  <si>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</si>
  <si>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</si>
  <si>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</si>
  <si>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</si>
  <si>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</si>
  <si>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</si>
  <si>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</si>
  <si>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</si>
  <si>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</si>
  <si>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</si>
  <si>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</si>
  <si>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</si>
  <si>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</si>
  <si>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</si>
  <si>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</si>
  <si>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</si>
  <si>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</si>
  <si>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</si>
  <si>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</si>
  <si>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</si>
  <si>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</si>
  <si>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</si>
  <si>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</si>
  <si>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</si>
  <si>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</si>
  <si>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</si>
  <si>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</si>
  <si>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</si>
  <si>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</si>
  <si>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</si>
  <si>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</si>
  <si>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</si>
  <si>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</si>
  <si>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</si>
  <si>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</si>
  <si>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</si>
  <si>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</si>
  <si>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</si>
  <si>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</si>
  <si>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</si>
  <si>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</si>
  <si>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</si>
  <si>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</si>
  <si>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</si>
  <si>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</si>
  <si>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</si>
  <si>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</si>
  <si>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</si>
  <si>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</si>
  <si>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</si>
  <si>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</si>
  <si>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</si>
  <si>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</si>
  <si>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</si>
  <si>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</si>
  <si>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</si>
  <si>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</si>
  <si>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</si>
  <si>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</si>
  <si>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</si>
  <si>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</si>
  <si>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</si>
  <si>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</si>
  <si>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</si>
  <si>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</si>
  <si>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</si>
  <si>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</si>
  <si>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</si>
  <si>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</si>
  <si>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</si>
  <si>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</si>
  <si>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</si>
  <si>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</si>
  <si>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</si>
  <si>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</si>
  <si>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</si>
  <si>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</si>
  <si>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</si>
  <si>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</si>
  <si>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</si>
  <si>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</si>
  <si>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</si>
  <si>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</si>
  <si>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</si>
  <si>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</si>
  <si>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</si>
  <si>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</si>
  <si>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</si>
  <si>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</si>
  <si>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</si>
  <si>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</si>
  <si>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</si>
  <si>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</si>
  <si>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</si>
  <si>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</si>
  <si>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</si>
  <si>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</si>
  <si>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</si>
  <si>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</si>
  <si>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</si>
  <si>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</si>
  <si>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</si>
  <si>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</si>
  <si>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</si>
  <si>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</si>
  <si>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</si>
  <si>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</si>
  <si>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</si>
  <si>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</si>
  <si>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</si>
  <si>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</si>
  <si>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</si>
  <si>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</si>
  <si>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</si>
  <si>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</si>
  <si>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</si>
  <si>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</si>
  <si>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</si>
  <si>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</si>
  <si>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</si>
  <si>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</si>
  <si>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</si>
  <si>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</si>
  <si>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</si>
  <si>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</si>
  <si>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</si>
  <si>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</si>
  <si>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</si>
  <si>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</si>
  <si>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</si>
  <si>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</si>
  <si>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</si>
  <si>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</si>
  <si>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</si>
  <si>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</si>
  <si>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</si>
  <si>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</si>
  <si>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</si>
  <si>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</si>
  <si>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</si>
  <si>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</si>
  <si>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</si>
  <si>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</si>
  <si>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</si>
  <si>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</si>
  <si>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</si>
  <si>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</si>
  <si>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</si>
  <si>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</si>
  <si>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</si>
  <si>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</si>
  <si>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</si>
  <si>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</si>
  <si>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</si>
  <si>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</si>
  <si>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</si>
  <si>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</si>
  <si>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</si>
  <si>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</si>
  <si>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</si>
  <si>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</si>
  <si>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</si>
  <si>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</si>
  <si>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</si>
  <si>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</si>
  <si>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</si>
  <si>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</si>
  <si>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</si>
  <si>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</si>
  <si>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</si>
  <si>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</si>
  <si>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</si>
  <si>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</si>
  <si>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</si>
  <si>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</si>
  <si>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</si>
  <si>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</si>
  <si>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</si>
  <si>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</si>
  <si>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</si>
  <si>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</si>
  <si>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</si>
  <si>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</si>
  <si>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</si>
  <si>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</si>
  <si>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</si>
  <si>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</si>
  <si>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</si>
  <si>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</si>
  <si>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</si>
  <si>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</si>
  <si>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</si>
  <si>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</si>
  <si>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</si>
  <si>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</si>
  <si>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</si>
  <si>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</si>
  <si>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</si>
  <si>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</si>
  <si>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</si>
  <si>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</si>
  <si>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</si>
  <si>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</si>
  <si>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</si>
  <si>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</si>
  <si>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</si>
  <si>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</si>
  <si>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</si>
  <si>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</si>
  <si>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</si>
  <si>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</si>
  <si>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</si>
  <si>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</si>
  <si>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</si>
  <si>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</si>
  <si>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</si>
  <si>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</si>
  <si>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</si>
  <si>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</si>
  <si>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</si>
  <si>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</si>
  <si>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</si>
  <si>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</si>
  <si>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</si>
  <si>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</si>
  <si>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</si>
  <si>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</si>
  <si>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</si>
  <si>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</si>
  <si>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</si>
  <si>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</si>
  <si>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</si>
  <si>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</si>
  <si>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</si>
  <si>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</si>
  <si>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</si>
  <si>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</si>
  <si>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</si>
  <si>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</si>
  <si>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</si>
  <si>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</si>
  <si>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</si>
  <si>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</si>
  <si>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</si>
  <si>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</si>
  <si>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</si>
  <si>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</si>
  <si>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</si>
  <si>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</si>
  <si>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</si>
  <si>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</si>
  <si>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</si>
  <si>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</si>
  <si>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</si>
  <si>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</si>
  <si>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</si>
  <si>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</si>
  <si>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</si>
  <si>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</si>
  <si>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</si>
  <si>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</si>
  <si>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</si>
  <si>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</si>
  <si>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</si>
  <si>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</si>
  <si>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</si>
  <si>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</si>
  <si>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</si>
  <si>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</si>
  <si>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</si>
  <si>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</si>
  <si>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</si>
  <si>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</si>
  <si>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</si>
  <si>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</si>
  <si>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</si>
  <si>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</si>
  <si>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</si>
  <si>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</si>
  <si>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</si>
  <si>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</si>
  <si>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</si>
  <si>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</si>
  <si>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</si>
  <si>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</si>
  <si>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</si>
  <si>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</si>
  <si>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</si>
  <si>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</si>
  <si>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</si>
  <si>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</si>
  <si>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</si>
  <si>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</si>
  <si>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</si>
  <si>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</si>
  <si>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</si>
  <si>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</si>
  <si>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</si>
  <si>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</si>
  <si>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</si>
  <si>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</si>
  <si>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</si>
  <si>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</si>
  <si>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</si>
  <si>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</si>
  <si>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</si>
  <si>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</si>
  <si>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</si>
  <si>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</si>
  <si>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</si>
  <si>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</si>
  <si>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</si>
  <si>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</si>
  <si>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</si>
  <si>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</si>
  <si>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</si>
  <si>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</si>
  <si>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</si>
  <si>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</si>
  <si>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</si>
  <si>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</si>
  <si>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</si>
  <si>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</si>
  <si>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</si>
  <si>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</si>
  <si>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</si>
  <si>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</si>
  <si>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</si>
  <si>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</si>
  <si>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</si>
  <si>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</si>
  <si>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</si>
  <si>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</si>
  <si>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</si>
  <si>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</si>
  <si>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</si>
  <si>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</si>
  <si>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</si>
  <si>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</si>
  <si>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</si>
  <si>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</si>
  <si>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</si>
  <si>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</si>
  <si>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</si>
  <si>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</si>
  <si>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</si>
  <si>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</si>
  <si>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</si>
  <si>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</si>
  <si>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</si>
  <si>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</si>
  <si>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</si>
  <si>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</si>
  <si>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</si>
  <si>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</si>
  <si>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</si>
  <si>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</si>
  <si>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</si>
  <si>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</si>
  <si>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</si>
  <si>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</si>
  <si>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</si>
  <si>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</si>
  <si>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</si>
  <si>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</si>
  <si>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</si>
  <si>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</si>
  <si>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</si>
  <si>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</si>
  <si>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</si>
  <si>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</si>
  <si>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</si>
  <si>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</si>
  <si>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</si>
  <si>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</si>
  <si>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</si>
  <si>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</si>
  <si>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</si>
  <si>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</si>
  <si>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</si>
  <si>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</si>
  <si>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</si>
  <si>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</si>
  <si>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</si>
  <si>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</si>
  <si>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</si>
  <si>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</si>
  <si>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</si>
  <si>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</si>
  <si>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</si>
  <si>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</si>
  <si>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</si>
  <si>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</si>
  <si>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</si>
  <si>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</si>
  <si>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</si>
  <si>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</si>
  <si>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</si>
  <si>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</si>
  <si>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</si>
  <si>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</si>
  <si>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</si>
  <si>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</si>
  <si>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</si>
  <si>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</si>
  <si>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</si>
  <si>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</si>
  <si>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</si>
  <si>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</si>
  <si>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</si>
  <si>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</si>
  <si>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</si>
  <si>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</si>
  <si>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</si>
  <si>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</si>
  <si>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</si>
  <si>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</si>
  <si>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</si>
  <si>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</si>
  <si>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</si>
  <si>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</si>
  <si>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</si>
  <si>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</si>
  <si>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</si>
  <si>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</si>
  <si>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</si>
  <si>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</si>
  <si>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</si>
  <si>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</si>
  <si>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</si>
  <si>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</si>
  <si>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</si>
  <si>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</si>
  <si>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</si>
  <si>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</si>
  <si>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</si>
  <si>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</si>
  <si>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</si>
  <si>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</si>
  <si>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</si>
  <si>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</si>
  <si>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</si>
  <si>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</si>
  <si>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</si>
  <si>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</si>
  <si>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</si>
  <si>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</si>
  <si>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</si>
  <si>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</si>
  <si>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</si>
  <si>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</si>
  <si>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</si>
  <si>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</si>
  <si>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</si>
  <si>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</si>
  <si>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</si>
  <si>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</si>
  <si>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</si>
  <si>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</si>
  <si>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</si>
  <si>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</si>
  <si>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</si>
  <si>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</si>
  <si>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</si>
  <si>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</si>
  <si>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</si>
  <si>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</si>
  <si>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</si>
  <si>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</si>
  <si>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</si>
  <si>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</si>
  <si>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</si>
  <si>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</si>
  <si>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</si>
  <si>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</si>
  <si>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</si>
  <si>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</si>
  <si>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</si>
  <si>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</si>
  <si>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</si>
  <si>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</si>
  <si>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</si>
  <si>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</si>
  <si>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</si>
  <si>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</si>
  <si>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</si>
  <si>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</si>
  <si>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</si>
  <si>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</si>
  <si>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</si>
  <si>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</si>
  <si>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</si>
  <si>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</si>
  <si>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</si>
  <si>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</si>
  <si>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</si>
  <si>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</si>
  <si>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</si>
  <si>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</si>
  <si>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</si>
  <si>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</si>
  <si>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</si>
  <si>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</si>
  <si>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</si>
  <si>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</si>
  <si>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</si>
  <si>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</si>
  <si>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</si>
  <si>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</si>
  <si>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</si>
  <si>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</si>
  <si>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</si>
  <si>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</si>
  <si>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</si>
  <si>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</si>
  <si>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</si>
  <si>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</si>
  <si>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</si>
  <si>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</si>
  <si>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</si>
  <si>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</si>
  <si>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</si>
  <si>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</si>
  <si>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</si>
  <si>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</si>
  <si>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</si>
  <si>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</si>
  <si>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</si>
  <si>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</si>
  <si>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</si>
  <si>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</si>
  <si>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</si>
  <si>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</si>
  <si>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</si>
  <si>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</si>
  <si>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</si>
  <si>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</si>
  <si>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</si>
  <si>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</si>
  <si>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</si>
  <si>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</si>
  <si>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</si>
  <si>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</si>
  <si>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</si>
  <si>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</si>
  <si>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</si>
  <si>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</si>
  <si>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</si>
  <si>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</si>
  <si>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</si>
  <si>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</si>
  <si>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</si>
  <si>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</si>
  <si>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</si>
  <si>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</si>
  <si>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</si>
  <si>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</si>
  <si>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</si>
  <si>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</si>
  <si>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</si>
  <si>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</si>
  <si>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</si>
  <si>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</si>
  <si>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</si>
  <si>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</si>
  <si>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</si>
  <si>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</si>
  <si>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</si>
  <si>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</si>
  <si>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</si>
  <si>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</si>
  <si>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</si>
  <si>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</si>
  <si>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</si>
  <si>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</si>
  <si>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</si>
  <si>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</si>
  <si>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</si>
  <si>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</si>
  <si>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</si>
  <si>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</si>
  <si>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</si>
  <si>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</si>
  <si>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</si>
  <si>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</si>
  <si>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</si>
  <si>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</si>
  <si>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</si>
  <si>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</si>
  <si>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</si>
  <si>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</si>
  <si>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</si>
  <si>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</si>
  <si>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</si>
  <si>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</si>
  <si>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</si>
  <si>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</si>
  <si>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</si>
  <si>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</si>
  <si>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</si>
  <si>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</si>
  <si>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</si>
  <si>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</si>
  <si>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</si>
  <si>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</si>
  <si>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</si>
  <si>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</si>
  <si>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</si>
  <si>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</si>
  <si>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</si>
  <si>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</si>
  <si>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</si>
  <si>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</si>
  <si>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</si>
  <si>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</si>
  <si>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</si>
  <si>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</si>
  <si>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</si>
  <si>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</si>
  <si>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</si>
  <si>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</si>
  <si>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</si>
  <si>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</si>
  <si>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</si>
  <si>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</si>
  <si>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</si>
  <si>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</si>
  <si>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</si>
  <si>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</si>
  <si>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</si>
  <si>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</si>
  <si>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</si>
  <si>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</si>
  <si>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</si>
  <si>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</si>
  <si>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</si>
  <si>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</si>
  <si>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</si>
  <si>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</si>
  <si>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</si>
  <si>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</si>
  <si>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</si>
  <si>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</si>
  <si>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</si>
  <si>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</si>
  <si>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</si>
  <si>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</si>
  <si>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</si>
  <si>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</si>
  <si>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</si>
  <si>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</si>
  <si>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</si>
  <si>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</si>
  <si>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</si>
  <si>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</si>
  <si>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</si>
  <si>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</si>
  <si>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</si>
  <si>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</si>
  <si>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</si>
  <si>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</si>
  <si>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</si>
  <si>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</si>
  <si>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</si>
  <si>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</si>
  <si>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</si>
  <si>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</si>
  <si>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</si>
  <si>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</si>
  <si>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</si>
  <si>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</si>
  <si>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</si>
  <si>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</si>
  <si>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</si>
  <si>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</si>
  <si>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</si>
  <si>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</si>
  <si>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</si>
  <si>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</si>
  <si>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</si>
  <si>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</si>
  <si>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</si>
  <si>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</si>
  <si>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</si>
  <si>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</si>
  <si>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</si>
  <si>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</si>
  <si>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</si>
  <si>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</si>
  <si>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</si>
  <si>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</si>
  <si>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</si>
  <si>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</si>
  <si>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</si>
  <si>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</si>
  <si>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</si>
  <si>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</si>
  <si>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</si>
  <si>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</si>
  <si>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</si>
  <si>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</si>
  <si>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</si>
  <si>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</si>
  <si>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</si>
  <si>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</si>
  <si>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</si>
  <si>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</si>
  <si>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</si>
  <si>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</si>
  <si>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</si>
  <si>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</si>
  <si>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</si>
  <si>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</si>
  <si>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</si>
  <si>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</si>
  <si>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</si>
  <si>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</si>
  <si>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</si>
  <si>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</si>
  <si>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</si>
  <si>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</si>
  <si>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</si>
  <si>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</si>
  <si>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</si>
  <si>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</si>
  <si>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</si>
  <si>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</si>
  <si>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</si>
  <si>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</si>
  <si>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</si>
  <si>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</si>
  <si>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</si>
  <si>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</si>
  <si>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</si>
  <si>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</si>
  <si>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</si>
  <si>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</si>
  <si>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</si>
  <si>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</si>
  <si>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</si>
  <si>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</si>
  <si>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</si>
  <si>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</si>
  <si>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</si>
  <si>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</si>
  <si>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</si>
  <si>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</si>
  <si>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</si>
  <si>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</si>
  <si>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</si>
  <si>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</si>
  <si>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</si>
  <si>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</si>
  <si>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</si>
  <si>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</si>
  <si>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</si>
  <si>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</si>
  <si>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</si>
  <si>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</si>
  <si>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</si>
  <si>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</si>
  <si>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</si>
  <si>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</si>
  <si>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</si>
  <si>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</si>
  <si>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</si>
  <si>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</si>
  <si>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</si>
  <si>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</si>
  <si>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</si>
  <si>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</si>
  <si>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</si>
  <si>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</si>
  <si>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</si>
  <si>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</si>
  <si>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</si>
  <si>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</si>
  <si>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</si>
  <si>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</si>
  <si>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</si>
  <si>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</si>
  <si>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</si>
  <si>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</si>
  <si>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</si>
  <si>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</si>
  <si>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</si>
  <si>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</si>
  <si>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</si>
  <si>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</si>
  <si>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</si>
  <si>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</si>
  <si>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</si>
  <si>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</si>
  <si>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</si>
  <si>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</si>
  <si>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</si>
  <si>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</si>
  <si>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</si>
  <si>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</si>
  <si>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</si>
  <si>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</si>
  <si>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</si>
  <si>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</si>
  <si>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</si>
  <si>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</si>
  <si>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</si>
  <si>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</si>
  <si>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</si>
  <si>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</si>
  <si>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</si>
  <si>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</si>
  <si>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</si>
  <si>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</si>
  <si>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</si>
  <si>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</si>
  <si>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</si>
  <si>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</si>
  <si>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</si>
  <si>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</si>
  <si>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</si>
  <si>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</si>
  <si>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</si>
  <si>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</si>
  <si>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</si>
  <si>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</si>
  <si>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</si>
  <si>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</si>
  <si>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</si>
  <si>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</si>
  <si>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</si>
  <si>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</si>
  <si>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</si>
  <si>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</si>
  <si>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</si>
  <si>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</si>
  <si>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</si>
  <si>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</si>
  <si>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</si>
  <si>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</si>
  <si>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</si>
  <si>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</si>
  <si>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</si>
  <si>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</si>
  <si>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</si>
  <si>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</si>
  <si>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</si>
  <si>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</si>
  <si>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</si>
  <si>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</si>
  <si>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</si>
  <si>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</si>
  <si>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</si>
  <si>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</si>
  <si>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</si>
  <si>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</si>
  <si>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</si>
  <si>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</si>
  <si>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</si>
  <si>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</si>
  <si>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</si>
  <si>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</si>
  <si>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</si>
  <si>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</si>
  <si>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</si>
  <si>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</si>
  <si>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</si>
  <si>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</si>
  <si>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</si>
  <si>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</si>
  <si>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</si>
  <si>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</si>
  <si>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</si>
  <si>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</si>
  <si>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</si>
  <si>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</si>
  <si>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</si>
  <si>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</si>
  <si>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</si>
  <si>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</si>
  <si>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</si>
  <si>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</si>
  <si>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</si>
  <si>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</si>
  <si>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</si>
  <si>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</si>
  <si>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</si>
  <si>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</si>
  <si>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</si>
  <si>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</si>
  <si>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</si>
  <si>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</si>
  <si>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</si>
  <si>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</si>
  <si>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</si>
  <si>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</si>
  <si>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</si>
  <si>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</si>
  <si>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</si>
  <si>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</si>
  <si>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</si>
  <si>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</si>
  <si>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</si>
  <si>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</si>
  <si>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</si>
  <si>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</si>
  <si>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</si>
  <si>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</si>
  <si>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</si>
  <si>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</si>
  <si>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</si>
  <si>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</si>
  <si>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</si>
  <si>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</si>
  <si>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</si>
  <si>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</si>
  <si>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</si>
  <si>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</si>
  <si>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</si>
  <si>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</si>
  <si>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</si>
  <si>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</si>
  <si>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</si>
  <si>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</si>
  <si>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</si>
  <si>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</si>
  <si>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</si>
  <si>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</si>
  <si>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</si>
  <si>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</si>
  <si>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</si>
  <si>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</si>
  <si>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</si>
  <si>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</si>
  <si>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</si>
  <si>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</si>
  <si>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</si>
  <si>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</si>
  <si>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</si>
  <si>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</si>
  <si>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</si>
  <si>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</si>
  <si>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</si>
  <si>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</si>
  <si>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</si>
  <si>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</si>
  <si>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</si>
  <si>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</si>
  <si>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</si>
  <si>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</si>
  <si>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</si>
  <si>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</si>
  <si>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</si>
  <si>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</si>
  <si>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</si>
  <si>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</si>
  <si>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</si>
  <si>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</si>
  <si>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</si>
  <si>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</si>
  <si>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</si>
  <si>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</si>
  <si>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</si>
  <si>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</si>
  <si>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</si>
  <si>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</si>
  <si>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</si>
  <si>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</si>
  <si>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</si>
  <si>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</si>
  <si>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</si>
  <si>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</si>
  <si>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</si>
  <si>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</si>
  <si>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</si>
  <si>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</si>
  <si>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</si>
  <si>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</si>
  <si>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</si>
  <si>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</si>
  <si>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</si>
  <si>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</si>
  <si>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</si>
  <si>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</si>
  <si>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</si>
  <si>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</si>
  <si>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</si>
  <si>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</si>
  <si>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</si>
  <si>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</si>
  <si>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</si>
  <si>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</si>
  <si>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</si>
  <si>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</si>
  <si>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</si>
  <si>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</si>
  <si>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</si>
  <si>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</si>
  <si>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</si>
  <si>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</si>
  <si>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</si>
  <si>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</si>
  <si>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</si>
  <si>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</si>
  <si>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</si>
  <si>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</si>
  <si>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</si>
  <si>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</si>
  <si>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</si>
  <si>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</si>
  <si>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</si>
  <si>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</si>
  <si>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</si>
  <si>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</si>
  <si>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</si>
  <si>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</si>
  <si>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</si>
  <si>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</si>
  <si>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</si>
  <si>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</si>
  <si>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</si>
  <si>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</si>
  <si>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</si>
  <si>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</si>
  <si>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</si>
  <si>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</si>
  <si>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</si>
  <si>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</si>
  <si>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</si>
  <si>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</si>
  <si>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</si>
  <si>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</si>
  <si>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</si>
  <si>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</si>
  <si>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</si>
  <si>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</si>
  <si>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</si>
  <si>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</si>
  <si>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</si>
  <si>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</si>
  <si>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</si>
  <si>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</si>
  <si>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</si>
  <si>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</si>
  <si>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</si>
  <si>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</si>
  <si>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</si>
  <si>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</si>
  <si>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</si>
  <si>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</si>
  <si>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</si>
  <si>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</si>
  <si>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</si>
  <si>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</si>
  <si>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</si>
  <si>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</si>
  <si>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</si>
  <si>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</si>
  <si>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</si>
  <si>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</si>
  <si>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</si>
  <si>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</si>
  <si>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</si>
  <si>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</si>
  <si>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</si>
  <si>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</si>
  <si>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</si>
  <si>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</si>
  <si>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</si>
  <si>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</si>
  <si>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</si>
  <si>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</si>
  <si>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</si>
  <si>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</si>
  <si>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</si>
  <si>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</si>
  <si>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</si>
  <si>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</si>
  <si>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</si>
  <si>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</si>
  <si>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</si>
  <si>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</si>
  <si>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</si>
  <si>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</si>
  <si>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</si>
  <si>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</si>
  <si>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</si>
  <si>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</si>
  <si>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</si>
  <si>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</si>
  <si>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</si>
  <si>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</si>
  <si>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</si>
  <si>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</si>
  <si>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</si>
  <si>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</si>
  <si>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</si>
  <si>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</si>
  <si>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</si>
  <si>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</si>
  <si>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</si>
  <si>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</si>
  <si>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</si>
  <si>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</si>
  <si>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</si>
  <si>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</si>
  <si>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</si>
  <si>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</si>
  <si>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</si>
  <si>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</si>
  <si>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</si>
  <si>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</si>
  <si>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</si>
  <si>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</si>
  <si>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</si>
  <si>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</si>
  <si>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</si>
  <si>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</si>
  <si>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</si>
  <si>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</si>
  <si>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</si>
  <si>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</si>
  <si>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</si>
  <si>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</si>
  <si>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</si>
  <si>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</si>
  <si>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</si>
  <si>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</si>
  <si>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</si>
  <si>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</si>
  <si>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</si>
  <si>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</si>
  <si>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</si>
  <si>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</si>
  <si>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</si>
  <si>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</si>
  <si>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</si>
  <si>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</si>
  <si>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</si>
  <si>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</si>
  <si>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</si>
  <si>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</si>
  <si>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</si>
  <si>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</si>
  <si>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</si>
  <si>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</si>
  <si>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</si>
  <si>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</si>
  <si>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</si>
  <si>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</si>
  <si>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</si>
  <si>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</si>
  <si>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</si>
  <si>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</si>
  <si>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</si>
  <si>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</si>
  <si>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</si>
  <si>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</si>
  <si>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</si>
  <si>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</si>
  <si>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</si>
  <si>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</si>
  <si>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</si>
  <si>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</si>
  <si>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</si>
  <si>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</si>
  <si>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</si>
  <si>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</si>
  <si>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</si>
  <si>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</si>
  <si>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</si>
  <si>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</si>
  <si>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</si>
  <si>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</si>
  <si>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</si>
  <si>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</si>
  <si>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</si>
  <si>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</si>
  <si>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</si>
  <si>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</si>
  <si>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</si>
  <si>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</si>
  <si>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</si>
  <si>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</si>
  <si>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</si>
  <si>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</si>
  <si>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</si>
  <si>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</si>
  <si>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</si>
  <si>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</si>
  <si>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</si>
  <si>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</si>
  <si>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</si>
  <si>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</si>
  <si>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</si>
  <si>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</si>
  <si>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</si>
  <si>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</si>
  <si>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</si>
  <si>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</si>
  <si>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</si>
  <si>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</si>
  <si>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</si>
  <si>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</si>
  <si>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</si>
  <si>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</si>
  <si>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</si>
  <si>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</si>
  <si>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</si>
  <si>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</si>
  <si>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</si>
  <si>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</si>
  <si>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</si>
  <si>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</si>
  <si>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</si>
  <si>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</si>
  <si>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</si>
  <si>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</si>
  <si>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</si>
  <si>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</si>
  <si>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</si>
  <si>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</si>
  <si>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</si>
  <si>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</si>
  <si>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</si>
  <si>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</si>
  <si>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</si>
  <si>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</si>
  <si>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</si>
  <si>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</si>
  <si>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</si>
  <si>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</si>
  <si>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</si>
  <si>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</si>
  <si>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</si>
  <si>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</si>
  <si>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</si>
  <si>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</si>
  <si>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</si>
  <si>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</si>
  <si>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</si>
  <si>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</si>
  <si>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</si>
  <si>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</si>
  <si>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</si>
  <si>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</si>
  <si>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</si>
  <si>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</si>
  <si>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</si>
  <si>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</si>
  <si>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</si>
  <si>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</si>
  <si>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</si>
  <si>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</si>
  <si>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</si>
  <si>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</si>
  <si>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</si>
  <si>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</si>
  <si>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</si>
  <si>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</si>
  <si>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</si>
  <si>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</si>
  <si>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</si>
  <si>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</si>
  <si>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</si>
  <si>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</si>
  <si>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</si>
  <si>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</si>
  <si>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</si>
  <si>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</si>
  <si>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</si>
  <si>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</si>
  <si>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</si>
  <si>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</si>
  <si>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</si>
  <si>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</si>
  <si>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</si>
  <si>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</si>
  <si>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</si>
  <si>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</si>
  <si>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</si>
  <si>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</si>
  <si>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</si>
  <si>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</si>
  <si>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</si>
  <si>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</si>
  <si>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</si>
  <si>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</si>
  <si>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</si>
  <si>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</si>
  <si>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</si>
  <si>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</si>
  <si>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</si>
  <si>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</si>
  <si>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</si>
  <si>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</si>
  <si>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</si>
  <si>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</si>
  <si>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</si>
  <si>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</si>
  <si>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</si>
  <si>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</si>
  <si>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</si>
  <si>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</si>
  <si>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</si>
  <si>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</si>
  <si>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</si>
  <si>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</si>
  <si>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</si>
  <si>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</si>
  <si>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</si>
  <si>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</si>
  <si>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</si>
  <si>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</si>
  <si>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</si>
  <si>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</si>
  <si>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</si>
  <si>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</si>
  <si>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</si>
  <si>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</si>
  <si>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</si>
  <si>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</si>
  <si>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</si>
  <si>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</si>
  <si>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</si>
  <si>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</si>
  <si>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</si>
  <si>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</si>
  <si>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</si>
  <si>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</si>
  <si>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</si>
  <si>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</si>
  <si>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</si>
  <si>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</si>
  <si>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</si>
  <si>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</si>
  <si>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</si>
  <si>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</si>
  <si>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</si>
  <si>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</si>
  <si>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</si>
  <si>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</si>
  <si>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</si>
  <si>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</si>
  <si>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</si>
  <si>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</si>
  <si>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</si>
  <si>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</si>
  <si>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</si>
  <si>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</si>
  <si>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</si>
  <si>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</si>
  <si>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</si>
  <si>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</si>
  <si>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</si>
  <si>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</si>
  <si>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</si>
  <si>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</si>
  <si>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</si>
  <si>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</si>
  <si>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</si>
  <si>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</si>
  <si>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</si>
  <si>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</si>
  <si>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</si>
  <si>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</si>
  <si>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</si>
  <si>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</si>
  <si>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</si>
  <si>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</si>
  <si>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</si>
  <si>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</si>
  <si>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</si>
  <si>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</si>
  <si>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</si>
  <si>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</si>
  <si>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</si>
  <si>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</si>
  <si>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</si>
  <si>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</si>
  <si>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</si>
  <si>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</si>
  <si>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</si>
  <si>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</si>
  <si>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</si>
  <si>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</si>
  <si>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</si>
  <si>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</si>
  <si>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</si>
  <si>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</si>
  <si>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</si>
  <si>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</si>
  <si>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</si>
  <si>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</si>
  <si>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</si>
  <si>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</si>
  <si>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</si>
  <si>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</si>
  <si>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</si>
  <si>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</si>
  <si>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</si>
  <si>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</si>
  <si>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</si>
  <si>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</si>
  <si>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</si>
  <si>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</si>
  <si>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</si>
  <si>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</si>
  <si>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</si>
  <si>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</si>
  <si>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</si>
  <si>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</si>
  <si>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</si>
  <si>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</si>
  <si>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</si>
  <si>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</si>
  <si>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</si>
  <si>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</si>
  <si>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</si>
  <si>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</si>
  <si>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</si>
  <si>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</si>
  <si>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</si>
  <si>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</si>
  <si>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</si>
  <si>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</si>
  <si>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</si>
  <si>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</si>
  <si>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</si>
  <si>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</si>
  <si>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</si>
  <si>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</si>
  <si>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</si>
  <si>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</si>
  <si>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</si>
  <si>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</si>
  <si>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</si>
  <si>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</si>
  <si>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</si>
  <si>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</si>
  <si>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</si>
  <si>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</si>
  <si>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</si>
  <si>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</si>
  <si>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</si>
  <si>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</si>
  <si>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</si>
  <si>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</si>
  <si>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</si>
  <si>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</si>
  <si>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</si>
  <si>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</si>
  <si>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</si>
  <si>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</si>
  <si>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</si>
  <si>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</si>
  <si>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</si>
  <si>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</si>
  <si>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</si>
  <si>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</si>
  <si>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</si>
  <si>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</si>
  <si>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</si>
  <si>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</si>
  <si>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</si>
  <si>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</si>
  <si>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</si>
  <si>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</si>
  <si>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</si>
  <si>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</si>
  <si>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</si>
  <si>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</si>
  <si>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</si>
  <si>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</si>
  <si>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</si>
  <si>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</si>
  <si>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</si>
  <si>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</si>
  <si>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</si>
  <si>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</si>
  <si>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</si>
  <si>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</si>
  <si>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</si>
  <si>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</si>
  <si>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</si>
  <si>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</si>
  <si>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</si>
  <si>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</si>
  <si>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</si>
  <si>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</si>
  <si>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</si>
  <si>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</si>
  <si>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</si>
  <si>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</si>
  <si>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</si>
  <si>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</si>
  <si>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</si>
  <si>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</si>
  <si>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</si>
  <si>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</si>
  <si>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</si>
  <si>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</si>
  <si>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</si>
  <si>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</si>
  <si>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</si>
  <si>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</si>
  <si>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</si>
  <si>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</si>
  <si>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</si>
  <si>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</si>
  <si>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</si>
  <si>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</si>
  <si>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</si>
  <si>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</si>
  <si>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</si>
  <si>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</si>
  <si>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</si>
  <si>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</si>
  <si>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</si>
  <si>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</si>
  <si>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</si>
  <si>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</si>
  <si>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</si>
  <si>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</si>
  <si>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</si>
  <si>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</si>
  <si>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</si>
  <si>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</si>
  <si>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</si>
  <si>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</si>
  <si>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</si>
  <si>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</si>
  <si>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</si>
  <si>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</si>
  <si>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</si>
  <si>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</si>
  <si>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</si>
  <si>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</si>
  <si>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</si>
  <si>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</si>
  <si>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</si>
  <si>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</si>
  <si>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</si>
  <si>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</si>
  <si>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</si>
  <si>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</si>
  <si>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</si>
  <si>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</si>
  <si>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</si>
  <si>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</si>
  <si>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</si>
  <si>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</si>
  <si>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</si>
  <si>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</si>
  <si>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</si>
  <si>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</si>
  <si>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</si>
  <si>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</si>
  <si>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</si>
  <si>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</si>
  <si>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</si>
  <si>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</si>
  <si>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</si>
  <si>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</si>
  <si>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</si>
  <si>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</si>
  <si>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</si>
  <si>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</si>
  <si>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</si>
  <si>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</si>
  <si>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</si>
  <si>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</si>
  <si>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</si>
  <si>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</si>
  <si>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</si>
  <si>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</si>
  <si>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</si>
  <si>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</si>
  <si>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</si>
  <si>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</si>
  <si>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</si>
  <si>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</si>
  <si>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</si>
  <si>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</si>
  <si>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</si>
  <si>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</si>
  <si>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</si>
  <si>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</si>
  <si>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</si>
  <si>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</si>
  <si>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</si>
  <si>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</si>
  <si>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</si>
  <si>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</si>
  <si>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</si>
  <si>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</si>
  <si>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</si>
  <si>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</si>
  <si>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</si>
  <si>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</si>
  <si>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</si>
  <si>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</si>
  <si>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</si>
  <si>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</si>
  <si>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</si>
  <si>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</si>
  <si>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</si>
  <si>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</si>
  <si>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</si>
  <si>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</si>
  <si>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</si>
  <si>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</si>
  <si>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</si>
  <si>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</si>
  <si>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</si>
  <si>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</si>
  <si>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</si>
  <si>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</si>
  <si>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</si>
  <si>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</si>
  <si>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</si>
  <si>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</si>
  <si>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</si>
  <si>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</si>
  <si>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</si>
  <si>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</si>
  <si>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</si>
  <si>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</si>
  <si>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</si>
  <si>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</si>
  <si>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</si>
  <si>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</si>
  <si>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</si>
  <si>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</si>
  <si>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</si>
  <si>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</si>
  <si>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</si>
  <si>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</si>
  <si>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</si>
  <si>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</si>
  <si>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</si>
  <si>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</si>
  <si>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</si>
  <si>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</si>
  <si>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</si>
  <si>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</si>
  <si>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</si>
  <si>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</si>
  <si>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</si>
  <si>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</si>
  <si>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</si>
  <si>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</si>
  <si>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</si>
  <si>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</si>
  <si>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</si>
  <si>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</si>
  <si>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</si>
  <si>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</si>
  <si>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</si>
  <si>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</si>
  <si>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</si>
  <si>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</si>
  <si>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</si>
  <si>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</si>
  <si>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</si>
  <si>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</si>
  <si>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</si>
  <si>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</si>
  <si>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</si>
  <si>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</si>
  <si>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</si>
  <si>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</si>
  <si>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</si>
  <si>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</si>
  <si>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</si>
  <si>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</si>
  <si>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</si>
  <si>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</si>
  <si>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</si>
  <si>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</si>
  <si>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</si>
  <si>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</si>
  <si>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</si>
  <si>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</si>
  <si>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</si>
  <si>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</si>
  <si>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</si>
  <si>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</si>
  <si>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</si>
  <si>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</si>
  <si>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</si>
  <si>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</si>
  <si>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</si>
  <si>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</si>
  <si>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</si>
  <si>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</si>
  <si>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</si>
  <si>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</si>
  <si>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</si>
  <si>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</si>
  <si>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</si>
  <si>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</si>
  <si>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</si>
  <si>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</si>
  <si>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</si>
  <si>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</si>
  <si>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</si>
  <si>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</si>
  <si>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</si>
  <si>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</si>
  <si>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</si>
  <si>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</si>
  <si>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</si>
  <si>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</si>
  <si>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</si>
  <si>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</si>
  <si>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</si>
  <si>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</si>
  <si>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</si>
  <si>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</si>
  <si>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</si>
  <si>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</si>
  <si>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</si>
  <si>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</si>
  <si>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</si>
  <si>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</si>
  <si>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</si>
  <si>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</si>
  <si>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</si>
  <si>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</si>
  <si>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</si>
  <si>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</si>
  <si>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</si>
  <si>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</si>
  <si>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</si>
  <si>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</si>
  <si>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</si>
  <si>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</si>
  <si>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</si>
  <si>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</si>
  <si>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</si>
  <si>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</si>
  <si>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</si>
  <si>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</si>
  <si>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</si>
  <si>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</si>
  <si>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</si>
  <si>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</si>
  <si>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</si>
  <si>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</si>
  <si>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</si>
  <si>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</si>
  <si>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</si>
  <si>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</si>
  <si>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</si>
  <si>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</si>
  <si>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</si>
  <si>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</si>
  <si>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</si>
  <si>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</si>
  <si>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</si>
  <si>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</si>
  <si>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</si>
  <si>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</si>
  <si>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</si>
  <si>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</si>
  <si>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</si>
  <si>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</si>
  <si>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</si>
  <si>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</si>
  <si>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</si>
  <si>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</si>
  <si>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</si>
  <si>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</si>
  <si>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</si>
  <si>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</si>
  <si>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</si>
  <si>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</si>
  <si>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</si>
  <si>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</si>
  <si>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</si>
  <si>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</si>
  <si>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</si>
  <si>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</si>
  <si>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</si>
  <si>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</si>
  <si>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</si>
  <si>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</si>
  <si>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</si>
  <si>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</si>
  <si>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</si>
  <si>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</si>
  <si>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</si>
  <si>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</si>
  <si>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</si>
  <si>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</si>
  <si>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</si>
  <si>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</si>
  <si>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</si>
  <si>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</si>
  <si>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</si>
  <si>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</si>
  <si>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</si>
  <si>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</si>
  <si>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</si>
  <si>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</si>
  <si>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</si>
  <si>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</si>
  <si>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</si>
  <si>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</si>
  <si>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</si>
  <si>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</si>
  <si>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</si>
  <si>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</si>
  <si>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</si>
  <si>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</si>
  <si>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</si>
  <si>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</si>
  <si>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</si>
  <si>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</si>
  <si>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</si>
  <si>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</si>
  <si>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</si>
  <si>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</si>
  <si>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</si>
  <si>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</si>
  <si>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</si>
  <si>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</si>
  <si>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</si>
  <si>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</si>
  <si>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</si>
  <si>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</si>
  <si>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</si>
  <si>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</si>
  <si>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</si>
  <si>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</si>
  <si>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</si>
  <si>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</si>
  <si>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</si>
  <si>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</si>
  <si>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</si>
  <si>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</si>
  <si>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</si>
  <si>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</si>
  <si>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</si>
  <si>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</si>
  <si>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</si>
  <si>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</si>
  <si>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</si>
  <si>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</si>
  <si>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</si>
  <si>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</si>
  <si>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</si>
  <si>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</si>
  <si>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</si>
  <si>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</si>
  <si>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</si>
  <si>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</si>
  <si>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</si>
  <si>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</si>
  <si>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</si>
  <si>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</si>
  <si>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</si>
  <si>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</si>
  <si>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</si>
  <si>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</si>
  <si>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</si>
  <si>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</si>
  <si>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</si>
  <si>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</si>
  <si>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</si>
  <si>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</si>
  <si>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</si>
  <si>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</si>
  <si>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</si>
  <si>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</si>
  <si>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</si>
  <si>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</si>
  <si>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</si>
  <si>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</si>
  <si>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</si>
  <si>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</si>
  <si>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</si>
  <si>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</si>
  <si>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</si>
  <si>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</si>
  <si>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</si>
  <si>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</si>
  <si>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</si>
  <si>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</si>
  <si>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</si>
  <si>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</si>
  <si>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</si>
  <si>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</si>
  <si>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</si>
  <si>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</si>
  <si>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</si>
  <si>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</si>
  <si>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</si>
  <si>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</si>
  <si>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</si>
  <si>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</si>
  <si>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</si>
  <si>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</si>
  <si>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</si>
  <si>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</si>
  <si>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</si>
  <si>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</si>
  <si>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</si>
  <si>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</si>
  <si>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</si>
  <si>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</si>
  <si>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</si>
  <si>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</si>
  <si>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</si>
  <si>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</si>
  <si>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</si>
  <si>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</si>
  <si>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</si>
  <si>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</si>
  <si>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</si>
  <si>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</si>
  <si>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</si>
  <si>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</si>
  <si>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</si>
  <si>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</si>
  <si>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</si>
  <si>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</si>
  <si>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</si>
  <si>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</si>
  <si>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</si>
  <si>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</si>
  <si>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</si>
  <si>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</si>
  <si>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</si>
  <si>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</si>
  <si>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</si>
  <si>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</si>
  <si>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</si>
  <si>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</si>
  <si>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</si>
  <si>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</si>
  <si>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</si>
  <si>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</si>
  <si>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</si>
  <si>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</si>
  <si>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</si>
  <si>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</si>
  <si>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</si>
  <si>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</si>
  <si>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</si>
  <si>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</si>
  <si>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</si>
  <si>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</si>
  <si>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</si>
  <si>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</si>
  <si>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</si>
  <si>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</si>
  <si>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</si>
  <si>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</si>
  <si>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</si>
  <si>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</si>
  <si>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</si>
  <si>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</si>
  <si>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</si>
  <si>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</si>
  <si>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</si>
  <si>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</si>
  <si>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</si>
  <si>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</si>
  <si>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</si>
  <si>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</si>
  <si>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</si>
  <si>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</si>
  <si>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</si>
  <si>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</si>
  <si>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</si>
  <si>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</si>
  <si>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</si>
  <si>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</si>
  <si>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</si>
  <si>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</si>
  <si>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</si>
  <si>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</si>
  <si>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</si>
  <si>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</si>
  <si>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</si>
  <si>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</si>
  <si>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</si>
  <si>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</si>
  <si>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</si>
  <si>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</si>
  <si>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</si>
  <si>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</si>
  <si>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</si>
  <si>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</si>
  <si>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</si>
  <si>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</si>
  <si>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</si>
  <si>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</si>
  <si>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</si>
  <si>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</si>
  <si>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</si>
  <si>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</si>
  <si>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</si>
  <si>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</si>
  <si>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</si>
  <si>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</si>
  <si>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</si>
  <si>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</si>
  <si>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</si>
  <si>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</si>
  <si>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</si>
  <si>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</si>
  <si>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</si>
  <si>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</si>
  <si>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</si>
  <si>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</si>
  <si>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</si>
  <si>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</si>
  <si>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</si>
  <si>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</si>
  <si>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</si>
  <si>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</si>
  <si>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</si>
  <si>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</si>
  <si>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</si>
  <si>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</si>
  <si>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</si>
  <si>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</si>
  <si>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</si>
  <si>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</si>
  <si>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</si>
  <si>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</si>
  <si>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</si>
  <si>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</si>
  <si>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</si>
  <si>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</si>
  <si>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</si>
  <si>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</si>
  <si>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</si>
  <si>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</si>
  <si>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</si>
  <si>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</si>
  <si>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</si>
  <si>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</si>
  <si>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</si>
  <si>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</si>
  <si>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</si>
  <si>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</si>
  <si>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</si>
  <si>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</si>
  <si>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</si>
  <si>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</si>
  <si>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</si>
  <si>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</si>
  <si>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</si>
  <si>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</si>
  <si>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</si>
  <si>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</si>
  <si>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</si>
  <si>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</si>
  <si>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</si>
  <si>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</si>
  <si>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</si>
  <si>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</si>
  <si>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</si>
  <si>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</si>
  <si>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</si>
  <si>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</si>
  <si>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</si>
  <si>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</si>
  <si>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</si>
  <si>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</si>
  <si>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</si>
  <si>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</si>
  <si>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</si>
  <si>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</si>
  <si>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</si>
  <si>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</si>
  <si>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</si>
  <si>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</si>
  <si>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</si>
  <si>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</si>
  <si>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</si>
  <si>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</si>
  <si>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</si>
  <si>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</si>
  <si>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</si>
  <si>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</si>
  <si>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</si>
  <si>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</si>
  <si>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</si>
  <si>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</si>
  <si>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</si>
  <si>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</si>
  <si>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</si>
  <si>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</si>
  <si>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</si>
  <si>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</si>
  <si>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</si>
  <si>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</si>
  <si>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</si>
  <si>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</si>
  <si>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</si>
  <si>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</si>
  <si>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</si>
  <si>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</si>
  <si>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</si>
  <si>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</si>
  <si>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</si>
  <si>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</si>
  <si>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</si>
  <si>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</si>
  <si>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</si>
  <si>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</si>
  <si>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</si>
  <si>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</si>
  <si>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</si>
  <si>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</si>
  <si>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</si>
  <si>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</si>
  <si>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</si>
  <si>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</si>
  <si>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</si>
  <si>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</si>
  <si>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</si>
  <si>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</si>
  <si>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</si>
  <si>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</si>
  <si>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</si>
  <si>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</si>
  <si>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</si>
  <si>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</si>
  <si>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</si>
  <si>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</si>
  <si>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</si>
  <si>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</si>
  <si>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</si>
  <si>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</si>
  <si>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</si>
  <si>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</si>
  <si>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</si>
  <si>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</si>
  <si>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</si>
  <si>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</si>
  <si>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</si>
  <si>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</si>
  <si>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</si>
  <si>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</si>
  <si>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</si>
  <si>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</si>
  <si>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</si>
  <si>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</si>
  <si>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</si>
  <si>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</si>
  <si>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</si>
  <si>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</si>
  <si>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</si>
  <si>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</si>
  <si>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</si>
  <si>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</si>
  <si>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</si>
  <si>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</si>
  <si>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</si>
  <si>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</si>
  <si>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</si>
  <si>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</si>
  <si>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</si>
  <si>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</si>
  <si>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</si>
  <si>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</si>
  <si>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</si>
  <si>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</si>
  <si>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</si>
  <si>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</si>
  <si>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</si>
  <si>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</si>
  <si>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</si>
  <si>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</si>
  <si>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</si>
  <si>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</si>
  <si>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</si>
  <si>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</si>
  <si>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</si>
  <si>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</si>
  <si>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</si>
  <si>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</si>
  <si>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</si>
  <si>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</si>
  <si>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</si>
  <si>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</si>
  <si>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</si>
  <si>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</si>
  <si>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</si>
  <si>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</si>
  <si>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</si>
  <si>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</si>
  <si>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</si>
  <si>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</si>
  <si>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</si>
  <si>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</si>
  <si>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</si>
  <si>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</si>
  <si>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</si>
  <si>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</si>
  <si>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</si>
  <si>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</si>
  <si>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</si>
  <si>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</si>
  <si>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</si>
  <si>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</si>
  <si>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</si>
  <si>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</si>
  <si>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</si>
  <si>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</si>
  <si>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</si>
  <si>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</si>
  <si>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</si>
  <si>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</si>
  <si>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</si>
  <si>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</si>
  <si>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</si>
  <si>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</si>
  <si>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</si>
  <si>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</si>
  <si>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</si>
  <si>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</si>
  <si>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</si>
  <si>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</si>
  <si>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</si>
  <si>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</si>
  <si>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</si>
  <si>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</si>
  <si>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</si>
  <si>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</si>
  <si>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</si>
  <si>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</si>
  <si>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</si>
  <si>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</si>
  <si>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</si>
  <si>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</si>
  <si>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</si>
  <si>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</si>
  <si>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</si>
  <si>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</si>
  <si>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</si>
  <si>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</si>
  <si>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</si>
  <si>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</si>
  <si>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</si>
  <si>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</si>
  <si>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</si>
  <si>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</si>
  <si>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</si>
  <si>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</si>
  <si>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</si>
  <si>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</si>
  <si>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</si>
  <si>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</si>
  <si>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</si>
  <si>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</si>
  <si>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</si>
  <si>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</si>
  <si>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</si>
  <si>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</si>
  <si>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</si>
  <si>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</si>
  <si>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</si>
  <si>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</si>
  <si>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</si>
  <si>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</si>
  <si>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</si>
  <si>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</si>
  <si>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</si>
  <si>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</si>
  <si>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</si>
  <si>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</si>
  <si>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</si>
  <si>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</si>
  <si>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</si>
  <si>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</si>
  <si>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</si>
  <si>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</si>
  <si>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</si>
  <si>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</si>
  <si>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</si>
  <si>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</si>
  <si>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</si>
  <si>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</si>
  <si>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</si>
  <si>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</si>
  <si>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</si>
  <si>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</si>
  <si>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</si>
  <si>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</si>
  <si>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</si>
  <si>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</si>
  <si>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</si>
  <si>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</si>
  <si>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</si>
  <si>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</si>
  <si>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</si>
  <si>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</si>
  <si>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</si>
  <si>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</si>
  <si>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</si>
  <si>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</si>
  <si>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</si>
  <si>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</si>
  <si>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</si>
  <si>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</si>
  <si>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</si>
  <si>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</si>
  <si>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</si>
  <si>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</si>
  <si>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</si>
  <si>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</si>
  <si>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</si>
  <si>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</si>
  <si>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</si>
  <si>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</si>
  <si>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</si>
  <si>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</si>
  <si>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</si>
  <si>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</si>
  <si>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</si>
  <si>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</si>
  <si>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</si>
  <si>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</si>
  <si>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</si>
  <si>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</si>
  <si>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</si>
  <si>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</si>
  <si>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</si>
  <si>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</si>
  <si>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</si>
  <si>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</si>
  <si>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</si>
  <si>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</si>
  <si>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</si>
  <si>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</si>
  <si>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</si>
  <si>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</si>
  <si>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</si>
  <si>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</si>
  <si>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</si>
  <si>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</si>
  <si>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</si>
  <si>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</si>
  <si>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</si>
  <si>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</si>
  <si>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</si>
  <si>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</si>
  <si>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</si>
  <si>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</si>
  <si>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</si>
  <si>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</si>
  <si>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</si>
  <si>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</si>
  <si>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</si>
  <si>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</si>
  <si>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</si>
  <si>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</si>
  <si>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</si>
  <si>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</si>
  <si>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</si>
  <si>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</si>
  <si>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</si>
  <si>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</si>
  <si>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</si>
  <si>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</si>
  <si>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</si>
  <si>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</si>
  <si>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</si>
  <si>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</si>
  <si>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</si>
  <si>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</si>
  <si>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</si>
  <si>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</si>
  <si>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</si>
  <si>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</si>
  <si>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</si>
  <si>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</si>
  <si>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</si>
  <si>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</si>
  <si>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</si>
  <si>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</si>
  <si>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</si>
  <si>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</si>
  <si>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</si>
  <si>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</si>
  <si>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</si>
  <si>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</si>
  <si>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</si>
  <si>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</si>
  <si>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</si>
  <si>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</si>
  <si>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</si>
  <si>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</si>
  <si>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</si>
  <si>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</si>
  <si>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</si>
  <si>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</si>
  <si>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</si>
  <si>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</si>
  <si>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</si>
  <si>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</si>
  <si>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</si>
  <si>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</si>
  <si>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</si>
  <si>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</si>
  <si>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</si>
  <si>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</si>
  <si>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</si>
  <si>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</si>
  <si>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</si>
  <si>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</si>
  <si>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</si>
  <si>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</si>
  <si>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</si>
  <si>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</si>
  <si>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</si>
  <si>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</si>
  <si>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</si>
  <si>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</si>
  <si>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</si>
  <si>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</si>
  <si>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</si>
  <si>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</si>
  <si>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</si>
  <si>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</si>
  <si>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</si>
  <si>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</si>
  <si>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</si>
  <si>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</si>
  <si>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</si>
  <si>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</si>
  <si>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</si>
  <si>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</si>
  <si>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</si>
  <si>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</si>
  <si>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</si>
  <si>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</si>
  <si>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</si>
  <si>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</si>
  <si>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</si>
  <si>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</si>
  <si>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</si>
  <si>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</si>
  <si>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</si>
  <si>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</si>
  <si>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</si>
  <si>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</si>
  <si>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</si>
  <si>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</si>
  <si>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</si>
  <si>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</si>
  <si>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</si>
  <si>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</si>
  <si>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</si>
  <si>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</si>
  <si>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</si>
  <si>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</si>
  <si>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</si>
  <si>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</si>
  <si>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</si>
  <si>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</si>
  <si>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</si>
  <si>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</si>
  <si>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</si>
  <si>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</si>
  <si>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</si>
  <si>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</si>
  <si>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</si>
  <si>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d</t>
  </si>
  <si>
    <t>S50(8DEZEMBRO-14DEZEMBRO 2025)</t>
  </si>
  <si>
    <t>KROFTOOLS(CROFIL)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</si>
</sst>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5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10"/>
  <sheetViews>
    <sheetView tabSelected="1" topLeftCell="L1" workbookViewId="0">
      <pane ySplit="1" topLeftCell="A4561" activePane="bottomLeft" state="frozen"/>
      <selection pane="bottomLeft" activeCell="S4574" sqref="S4573:S4574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3269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3269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3269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3269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3401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3401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3401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3401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3269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3306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3490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3490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3490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3490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3490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3490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3306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3503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3490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3455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3455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3306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3455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3455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3455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3455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3455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3455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3455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3455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3503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3401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3401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3490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3490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5">(T157-W157)/T157</f>
        <v>1</v>
      </c>
      <c r="Z157" s="2" t="s">
        <v>119</v>
      </c>
      <c r="AA157" s="2" t="s">
        <v>3379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212.5</v>
      </c>
      <c r="AL157" s="5">
        <f t="shared" ref="AL157:AL188" si="27">(T157-W157)/T157</f>
        <v>1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3455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3455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3455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3455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5"/>
        <v>1</v>
      </c>
      <c r="Z167" s="2" t="s">
        <v>119</v>
      </c>
      <c r="AA167" s="2" t="s">
        <v>3379</v>
      </c>
      <c r="AF167" s="2">
        <f t="shared" si="19"/>
        <v>0</v>
      </c>
      <c r="AJ167" s="2">
        <f t="shared" si="20"/>
        <v>0</v>
      </c>
      <c r="AK167" s="2">
        <f t="shared" si="26"/>
        <v>20</v>
      </c>
      <c r="AL167" s="5">
        <f t="shared" si="27"/>
        <v>1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5"/>
        <v>1</v>
      </c>
      <c r="Z172" s="2" t="s">
        <v>119</v>
      </c>
      <c r="AA172" s="2" t="s">
        <v>3379</v>
      </c>
      <c r="AF172" s="2">
        <f t="shared" si="19"/>
        <v>0</v>
      </c>
      <c r="AJ172" s="2">
        <f t="shared" si="20"/>
        <v>0</v>
      </c>
      <c r="AK172" s="2">
        <f t="shared" si="26"/>
        <v>267.18</v>
      </c>
      <c r="AL172" s="5">
        <f t="shared" si="27"/>
        <v>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3331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3331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3306</v>
      </c>
      <c r="D183" s="2" t="s">
        <v>3329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3455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8"/>
        <v>1</v>
      </c>
      <c r="Z212" s="2" t="s">
        <v>119</v>
      </c>
      <c r="AA212" s="2" t="s">
        <v>3379</v>
      </c>
      <c r="AF212" s="2">
        <f t="shared" si="31"/>
        <v>0</v>
      </c>
      <c r="AJ212" s="2">
        <f t="shared" si="32"/>
        <v>0</v>
      </c>
      <c r="AK212" s="2">
        <f t="shared" si="29"/>
        <v>242.57</v>
      </c>
      <c r="AL212" s="5">
        <f t="shared" si="30"/>
        <v>1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3306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3306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43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15.12</v>
      </c>
      <c r="AL288" s="5">
        <f t="shared" si="44"/>
        <v>1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6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3437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3331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3455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3455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3306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3306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8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3306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3306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3306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3455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3455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3401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3307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3307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3307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3489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8"/>
        <v>1</v>
      </c>
      <c r="Z398" s="2" t="s">
        <v>119</v>
      </c>
      <c r="AA398" s="2" t="s">
        <v>3379</v>
      </c>
      <c r="AF398" s="2">
        <f t="shared" si="61"/>
        <v>0</v>
      </c>
      <c r="AJ398" s="2">
        <f t="shared" si="62"/>
        <v>0</v>
      </c>
      <c r="AK398" s="2">
        <f t="shared" si="63"/>
        <v>135</v>
      </c>
      <c r="AL398" s="5">
        <f t="shared" si="64"/>
        <v>1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3307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3307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3303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3370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3303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3370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3307</v>
      </c>
      <c r="D455" s="2" t="s">
        <v>3305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3304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3303</v>
      </c>
      <c r="D456" s="2" t="s">
        <v>3302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3301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3307</v>
      </c>
      <c r="D457" s="2" t="s">
        <v>3305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3304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3307</v>
      </c>
      <c r="D458" s="2" t="s">
        <v>3308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3303</v>
      </c>
      <c r="D459" s="2" t="s">
        <v>3302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3301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71"/>
        <v>1</v>
      </c>
      <c r="Z462" s="2" t="s">
        <v>119</v>
      </c>
      <c r="AA462" s="2" t="s">
        <v>3379</v>
      </c>
      <c r="AF462" s="2">
        <f t="shared" si="69"/>
        <v>0</v>
      </c>
      <c r="AJ462" s="2">
        <f t="shared" si="70"/>
        <v>0</v>
      </c>
      <c r="AK462" s="2">
        <f t="shared" si="73"/>
        <v>105.73</v>
      </c>
      <c r="AL462" s="5">
        <f t="shared" si="72"/>
        <v>1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3514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74">(T470-W470)/T470</f>
        <v>1</v>
      </c>
      <c r="Z470" s="2" t="s">
        <v>119</v>
      </c>
      <c r="AA470" s="2" t="s">
        <v>3379</v>
      </c>
      <c r="AF470" s="2">
        <f t="shared" si="69"/>
        <v>0</v>
      </c>
      <c r="AJ470" s="2">
        <f t="shared" si="70"/>
        <v>0</v>
      </c>
      <c r="AK470" s="2">
        <f t="shared" si="73"/>
        <v>17.47</v>
      </c>
      <c r="AL470" s="5">
        <f t="shared" si="72"/>
        <v>1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3381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3307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-15.12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3471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3471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9"/>
        <v>1</v>
      </c>
      <c r="Z515" s="2" t="s">
        <v>119</v>
      </c>
      <c r="AA515" s="2" t="s">
        <v>3379</v>
      </c>
      <c r="AF515" s="2">
        <f t="shared" si="80"/>
        <v>0</v>
      </c>
      <c r="AJ515" s="2">
        <f t="shared" si="81"/>
        <v>0</v>
      </c>
      <c r="AK515" s="2">
        <f t="shared" si="77"/>
        <v>135</v>
      </c>
      <c r="AL515" s="5">
        <f t="shared" si="78"/>
        <v>1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3401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3401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3401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3401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3472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3489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93"/>
        <v>1</v>
      </c>
      <c r="Z599" s="2" t="s">
        <v>119</v>
      </c>
      <c r="AA599" s="2" t="s">
        <v>3379</v>
      </c>
      <c r="AF599" s="2">
        <f t="shared" si="91"/>
        <v>0</v>
      </c>
      <c r="AJ599" s="2">
        <f t="shared" si="92"/>
        <v>0</v>
      </c>
      <c r="AK599" s="2">
        <f t="shared" si="89"/>
        <v>194.29</v>
      </c>
      <c r="AL599" s="5">
        <f t="shared" si="94"/>
        <v>1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3507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93"/>
        <v>1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141.47</v>
      </c>
      <c r="AL607" s="5">
        <f t="shared" si="94"/>
        <v>1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3331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93"/>
        <v>1</v>
      </c>
      <c r="Z621" s="2" t="s">
        <v>119</v>
      </c>
      <c r="AA621" s="2" t="s">
        <v>3379</v>
      </c>
      <c r="AF621" s="2">
        <f t="shared" si="91"/>
        <v>0</v>
      </c>
      <c r="AJ621" s="2">
        <f t="shared" si="92"/>
        <v>0</v>
      </c>
      <c r="AK621" s="2">
        <f t="shared" si="89"/>
        <v>10.8</v>
      </c>
      <c r="AL621" s="5">
        <f t="shared" si="94"/>
        <v>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3456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3456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3382</v>
      </c>
      <c r="AB673" s="2" t="s">
        <v>3383</v>
      </c>
      <c r="AC673" s="2" t="s">
        <v>3384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3456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3456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3456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3502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3502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109"/>
        <v>1</v>
      </c>
      <c r="Z724" s="2" t="s">
        <v>119</v>
      </c>
      <c r="AA724" s="2" t="s">
        <v>3379</v>
      </c>
      <c r="AF724" s="2">
        <f t="shared" si="107"/>
        <v>0</v>
      </c>
      <c r="AJ724" s="2">
        <f t="shared" si="108"/>
        <v>0</v>
      </c>
      <c r="AK724" s="2">
        <f t="shared" si="105"/>
        <v>122.56</v>
      </c>
      <c r="AL724" s="5">
        <f t="shared" si="106"/>
        <v>1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3453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3453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3456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3456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3331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14"/>
        <v>1</v>
      </c>
      <c r="Z762" s="2" t="s">
        <v>119</v>
      </c>
      <c r="AA762" s="2" t="s">
        <v>3379</v>
      </c>
      <c r="AF762" s="2">
        <f t="shared" si="107"/>
        <v>0</v>
      </c>
      <c r="AJ762" s="2">
        <f t="shared" si="108"/>
        <v>0</v>
      </c>
      <c r="AK762" s="2">
        <f t="shared" si="113"/>
        <v>12.22</v>
      </c>
      <c r="AL762" s="5">
        <f t="shared" si="110"/>
        <v>1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14"/>
        <v>0.25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312.5</v>
      </c>
      <c r="AL767" s="5">
        <f t="shared" si="115"/>
        <v>0.25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3407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3321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3321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3321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X794" s="18"/>
      <c r="Z794" s="2" t="s">
        <v>119</v>
      </c>
      <c r="AA794" s="2" t="s">
        <v>3379</v>
      </c>
      <c r="AF794" s="2">
        <f t="shared" si="116"/>
        <v>0</v>
      </c>
      <c r="AJ794" s="2">
        <f t="shared" si="117"/>
        <v>0</v>
      </c>
      <c r="AK794" s="2">
        <f t="shared" si="118"/>
        <v>-64.97</v>
      </c>
      <c r="AL794" s="18"/>
    </row>
    <row r="795" spans="1:38" x14ac:dyDescent="0.2">
      <c r="A795" s="2">
        <v>2025</v>
      </c>
      <c r="B795" s="2">
        <v>4</v>
      </c>
      <c r="C795" s="2" t="s">
        <v>3310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3310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 t="e">
        <f t="shared" si="123"/>
        <v>#DIV/0!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3310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3508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3508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3508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3508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3508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3508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3508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3508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3502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3502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3407</v>
      </c>
      <c r="D838" s="2" t="s">
        <v>3405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3407</v>
      </c>
      <c r="D839" s="2" t="s">
        <v>3405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3407</v>
      </c>
      <c r="D840" s="2" t="s">
        <v>3405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3407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3407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3310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3407</v>
      </c>
      <c r="D862" s="15" t="s">
        <v>3336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3407</v>
      </c>
      <c r="D863" s="15" t="s">
        <v>3336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30"/>
        <v>1</v>
      </c>
      <c r="Z864" s="2" t="s">
        <v>119</v>
      </c>
      <c r="AA864" s="2" t="s">
        <v>3379</v>
      </c>
      <c r="AF864" s="2">
        <f t="shared" si="128"/>
        <v>0</v>
      </c>
      <c r="AJ864" s="2">
        <f t="shared" si="129"/>
        <v>0</v>
      </c>
      <c r="AK864" s="2">
        <f t="shared" si="131"/>
        <v>1250</v>
      </c>
      <c r="AL864" s="5">
        <f t="shared" si="132"/>
        <v>1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3310</v>
      </c>
      <c r="D866" s="2" t="s">
        <v>3309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3310</v>
      </c>
      <c r="D867" s="2" t="s">
        <v>3311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33"/>
        <v>1</v>
      </c>
      <c r="Z878" s="2" t="s">
        <v>119</v>
      </c>
      <c r="AA878" s="2" t="s">
        <v>3379</v>
      </c>
      <c r="AF878" s="2">
        <f t="shared" si="128"/>
        <v>0</v>
      </c>
      <c r="AJ878" s="2">
        <f t="shared" si="129"/>
        <v>0</v>
      </c>
      <c r="AK878" s="2">
        <f t="shared" si="131"/>
        <v>101.5</v>
      </c>
      <c r="AL878" s="5">
        <f t="shared" si="134"/>
        <v>1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3407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33"/>
        <v>1</v>
      </c>
      <c r="Z888" s="2" t="s">
        <v>119</v>
      </c>
      <c r="AA888" s="2" t="s">
        <v>3379</v>
      </c>
      <c r="AF888" s="2">
        <f t="shared" si="128"/>
        <v>0</v>
      </c>
      <c r="AJ888" s="2">
        <f t="shared" si="129"/>
        <v>0</v>
      </c>
      <c r="AK888" s="2">
        <f t="shared" si="131"/>
        <v>361.2</v>
      </c>
      <c r="AL888" s="5">
        <f t="shared" si="134"/>
        <v>1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3407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3407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3502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3502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3407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3407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3502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3502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3407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3407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3380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3407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3407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3407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43"/>
        <v>1</v>
      </c>
      <c r="Z928" s="2" t="s">
        <v>119</v>
      </c>
      <c r="AA928" s="2" t="s">
        <v>3379</v>
      </c>
      <c r="AF928" s="2">
        <f t="shared" si="135"/>
        <v>0</v>
      </c>
      <c r="AJ928" s="2">
        <f t="shared" si="136"/>
        <v>0</v>
      </c>
      <c r="AK928" s="2">
        <f t="shared" si="138"/>
        <v>600</v>
      </c>
      <c r="AL928" s="5">
        <f t="shared" si="144"/>
        <v>1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3396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3407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3321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3321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3324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3324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3331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3297</v>
      </c>
      <c r="D1005" s="2" t="s">
        <v>1372</v>
      </c>
      <c r="E1005" s="2" t="s">
        <v>38</v>
      </c>
      <c r="F1005" s="2" t="s">
        <v>39</v>
      </c>
      <c r="I1005" s="2" t="s">
        <v>3298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3297</v>
      </c>
      <c r="D1006" s="2" t="s">
        <v>1372</v>
      </c>
      <c r="E1006" s="2" t="s">
        <v>38</v>
      </c>
      <c r="F1006" s="2" t="s">
        <v>39</v>
      </c>
      <c r="I1006" s="2" t="s">
        <v>3298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51"/>
        <v>1</v>
      </c>
      <c r="Z1006" s="2" t="s">
        <v>117</v>
      </c>
      <c r="AA1006" s="2" t="s">
        <v>118</v>
      </c>
      <c r="AB1006" s="2" t="s">
        <v>119</v>
      </c>
      <c r="AC1006" s="2" t="s">
        <v>3296</v>
      </c>
      <c r="AF1006" s="2">
        <f t="shared" si="146"/>
        <v>0</v>
      </c>
      <c r="AJ1006" s="2">
        <f t="shared" si="147"/>
        <v>0</v>
      </c>
      <c r="AK1006" s="2">
        <f t="shared" si="150"/>
        <v>32.49</v>
      </c>
      <c r="AL1006" s="5">
        <f t="shared" si="152"/>
        <v>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3324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3324</v>
      </c>
      <c r="D1044" s="15" t="s">
        <v>3336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3324</v>
      </c>
      <c r="D1045" s="15" t="s">
        <v>3336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3314</v>
      </c>
      <c r="D1046" s="2" t="s">
        <v>3313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3297</v>
      </c>
      <c r="D1047" s="2" t="s">
        <v>3312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3297</v>
      </c>
      <c r="D1048" s="2" t="s">
        <v>3312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3297</v>
      </c>
      <c r="D1049" s="2" t="s">
        <v>3312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3314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60">(T1059-W1059)/T1059</f>
        <v>1</v>
      </c>
      <c r="Z1059" s="2" t="s">
        <v>119</v>
      </c>
      <c r="AA1059" s="2" t="s">
        <v>3379</v>
      </c>
      <c r="AF1059" s="2">
        <f t="shared" si="155"/>
        <v>0</v>
      </c>
      <c r="AJ1059" s="2">
        <f t="shared" si="156"/>
        <v>0</v>
      </c>
      <c r="AK1059" s="2">
        <f t="shared" si="157"/>
        <v>142.51</v>
      </c>
      <c r="AL1059" s="5">
        <f t="shared" ref="AL1059:AL1078" si="161">(T1059-W1059)/T1059</f>
        <v>1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62"/>
        <v>1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27</v>
      </c>
      <c r="AL1088" s="5">
        <f t="shared" si="164"/>
        <v>1</v>
      </c>
    </row>
    <row r="1089" spans="1:38" x14ac:dyDescent="0.2">
      <c r="A1089" s="2">
        <v>2025</v>
      </c>
      <c r="B1089" s="2">
        <v>5</v>
      </c>
      <c r="C1089" s="2" t="s">
        <v>3509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3509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3509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3509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3509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3297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3331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71"/>
        <v>1</v>
      </c>
      <c r="Z1118" s="2" t="s">
        <v>119</v>
      </c>
      <c r="AA1118" s="2" t="s">
        <v>3379</v>
      </c>
      <c r="AF1118" s="2">
        <f t="shared" si="165"/>
        <v>0</v>
      </c>
      <c r="AJ1118" s="2">
        <f t="shared" si="166"/>
        <v>0</v>
      </c>
      <c r="AK1118" s="2">
        <f t="shared" si="172"/>
        <v>205</v>
      </c>
      <c r="AL1118" s="5">
        <f t="shared" si="173"/>
        <v>1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3407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3407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3314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3324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3324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71"/>
        <v>1</v>
      </c>
      <c r="Z1127" s="2" t="s">
        <v>119</v>
      </c>
      <c r="AA1127" s="2" t="s">
        <v>3379</v>
      </c>
      <c r="AF1127" s="2">
        <f t="shared" si="165"/>
        <v>0</v>
      </c>
      <c r="AJ1127" s="2">
        <f t="shared" si="166"/>
        <v>0</v>
      </c>
      <c r="AK1127" s="2">
        <f t="shared" si="172"/>
        <v>99.75</v>
      </c>
      <c r="AL1127" s="5">
        <f t="shared" si="173"/>
        <v>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74"/>
        <v>1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12</v>
      </c>
      <c r="AL1148" s="5">
        <f t="shared" si="17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74"/>
        <v>1</v>
      </c>
      <c r="Z1152" s="2" t="s">
        <v>119</v>
      </c>
      <c r="AA1152" s="2" t="s">
        <v>3379</v>
      </c>
      <c r="AF1152" s="2">
        <f t="shared" si="165"/>
        <v>0</v>
      </c>
      <c r="AJ1152" s="2">
        <f t="shared" si="166"/>
        <v>0</v>
      </c>
      <c r="AK1152" s="2">
        <f t="shared" si="175"/>
        <v>28588.61</v>
      </c>
      <c r="AL1152" s="5">
        <f t="shared" si="176"/>
        <v>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3469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3469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3413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3399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3399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3469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79"/>
        <v>1</v>
      </c>
      <c r="Z1180" s="2" t="s">
        <v>117</v>
      </c>
      <c r="AA1180" s="2" t="s">
        <v>3504</v>
      </c>
      <c r="AF1180" s="2">
        <f t="shared" si="177"/>
        <v>0</v>
      </c>
      <c r="AJ1180" s="2">
        <f t="shared" si="178"/>
        <v>0</v>
      </c>
      <c r="AK1180" s="2">
        <f t="shared" si="180"/>
        <v>45</v>
      </c>
      <c r="AL1180" s="5">
        <f t="shared" si="181"/>
        <v>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3413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3413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3413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3423</v>
      </c>
      <c r="D1217" s="2" t="s">
        <v>3485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3399</v>
      </c>
      <c r="D1218" s="2" t="s">
        <v>3485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3423</v>
      </c>
      <c r="D1219" s="2" t="s">
        <v>3485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89"/>
        <v>1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176.32</v>
      </c>
      <c r="AL1222" s="5">
        <f t="shared" si="188"/>
        <v>1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89"/>
        <v>1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8.2100000000000009</v>
      </c>
      <c r="AL1231" s="5">
        <f t="shared" si="188"/>
        <v>1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3413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89"/>
        <v>1</v>
      </c>
      <c r="Z1242" s="2" t="s">
        <v>119</v>
      </c>
      <c r="AA1242" s="2" t="s">
        <v>3379</v>
      </c>
      <c r="AF1242" s="2">
        <f t="shared" si="185"/>
        <v>0</v>
      </c>
      <c r="AJ1242" s="2">
        <f t="shared" si="186"/>
        <v>0</v>
      </c>
      <c r="AK1242" s="2">
        <f t="shared" si="187"/>
        <v>70</v>
      </c>
      <c r="AL1242" s="5">
        <f t="shared" si="188"/>
        <v>1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89"/>
        <v>1</v>
      </c>
      <c r="Z1251" s="2" t="s">
        <v>3226</v>
      </c>
      <c r="AF1251" s="2">
        <f t="shared" si="185"/>
        <v>0</v>
      </c>
      <c r="AJ1251" s="2">
        <f t="shared" si="186"/>
        <v>0</v>
      </c>
      <c r="AK1251" s="2">
        <f t="shared" si="190"/>
        <v>99.9</v>
      </c>
      <c r="AL1251" s="5">
        <f t="shared" si="188"/>
        <v>1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89"/>
        <v>1</v>
      </c>
      <c r="Z1252" s="2" t="s">
        <v>117</v>
      </c>
      <c r="AF1252" s="2">
        <f t="shared" si="185"/>
        <v>0</v>
      </c>
      <c r="AJ1252" s="2">
        <f t="shared" si="186"/>
        <v>0</v>
      </c>
      <c r="AK1252" s="2">
        <f t="shared" si="190"/>
        <v>23.33</v>
      </c>
      <c r="AL1252" s="5">
        <f t="shared" si="188"/>
        <v>1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89"/>
        <v>1</v>
      </c>
      <c r="Z1255" s="2" t="s">
        <v>3226</v>
      </c>
      <c r="AF1255" s="2">
        <f t="shared" si="185"/>
        <v>0</v>
      </c>
      <c r="AJ1255" s="2">
        <f t="shared" si="186"/>
        <v>0</v>
      </c>
      <c r="AK1255" s="2">
        <f t="shared" si="190"/>
        <v>370</v>
      </c>
      <c r="AL1255" s="5">
        <f t="shared" si="188"/>
        <v>1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3402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3402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3402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3402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3423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92"/>
        <v>1</v>
      </c>
      <c r="Z1272" s="2" t="s">
        <v>117</v>
      </c>
      <c r="AF1272" s="2">
        <f t="shared" si="185"/>
        <v>0</v>
      </c>
      <c r="AJ1272" s="2">
        <f t="shared" si="186"/>
        <v>0</v>
      </c>
      <c r="AK1272" s="2">
        <f t="shared" si="190"/>
        <v>14.95</v>
      </c>
      <c r="AL1272" s="5">
        <f t="shared" si="191"/>
        <v>1</v>
      </c>
    </row>
    <row r="1273" spans="1:38" x14ac:dyDescent="0.2">
      <c r="A1273" s="2">
        <v>2025</v>
      </c>
      <c r="B1273" s="2">
        <v>7</v>
      </c>
      <c r="C1273" s="2" t="s">
        <v>3423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92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525.22</v>
      </c>
      <c r="AL1273" s="5">
        <f t="shared" si="191"/>
        <v>1</v>
      </c>
    </row>
    <row r="1274" spans="1:38" x14ac:dyDescent="0.2">
      <c r="A1274" s="2">
        <v>2025</v>
      </c>
      <c r="B1274" s="2">
        <v>7</v>
      </c>
      <c r="C1274" s="2" t="s">
        <v>3423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3423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3315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92"/>
        <v>1</v>
      </c>
      <c r="Z1276" s="2" t="s">
        <v>119</v>
      </c>
      <c r="AA1276" s="2" t="s">
        <v>3379</v>
      </c>
      <c r="AF1276" s="2">
        <f t="shared" si="185"/>
        <v>0</v>
      </c>
      <c r="AJ1276" s="2">
        <f t="shared" si="186"/>
        <v>0</v>
      </c>
      <c r="AK1276" s="2">
        <f t="shared" si="190"/>
        <v>525.28</v>
      </c>
      <c r="AL1276" s="5">
        <f t="shared" si="191"/>
        <v>1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3331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3331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3400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3331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3331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93"/>
        <v>1</v>
      </c>
      <c r="Z1286" s="2" t="s">
        <v>119</v>
      </c>
      <c r="AA1286" s="2" t="s">
        <v>3379</v>
      </c>
      <c r="AF1286" s="2">
        <f t="shared" si="195"/>
        <v>0</v>
      </c>
      <c r="AJ1286" s="2">
        <f t="shared" si="196"/>
        <v>0</v>
      </c>
      <c r="AK1286" s="2">
        <f t="shared" si="197"/>
        <v>200.03</v>
      </c>
      <c r="AL1286" s="5">
        <f t="shared" si="194"/>
        <v>1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93"/>
        <v>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267.18</v>
      </c>
      <c r="AL1290" s="5">
        <f t="shared" si="194"/>
        <v>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93"/>
        <v>1</v>
      </c>
      <c r="Z1293" s="2" t="s">
        <v>119</v>
      </c>
      <c r="AA1293" s="2" t="s">
        <v>3379</v>
      </c>
      <c r="AF1293" s="2">
        <f t="shared" si="195"/>
        <v>0</v>
      </c>
      <c r="AJ1293" s="2">
        <f t="shared" si="196"/>
        <v>0</v>
      </c>
      <c r="AK1293" s="2">
        <f t="shared" si="197"/>
        <v>630</v>
      </c>
      <c r="AL1293" s="5">
        <f t="shared" si="194"/>
        <v>1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93"/>
        <v>1</v>
      </c>
      <c r="Z1303" s="2" t="s">
        <v>117</v>
      </c>
      <c r="AF1303" s="2">
        <f t="shared" si="195"/>
        <v>0</v>
      </c>
      <c r="AJ1303" s="2">
        <f t="shared" si="196"/>
        <v>0</v>
      </c>
      <c r="AK1303" s="2">
        <f t="shared" si="197"/>
        <v>172.63</v>
      </c>
      <c r="AL1303" s="5">
        <f t="shared" si="194"/>
        <v>1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3398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3398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3331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3331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4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3380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201">(T1336-W1336)/T1336</f>
        <v>1</v>
      </c>
      <c r="AF1336" s="2">
        <f t="shared" si="195"/>
        <v>0</v>
      </c>
      <c r="AJ1336" s="2">
        <f t="shared" si="196"/>
        <v>0</v>
      </c>
      <c r="AK1336" s="2">
        <f t="shared" si="199"/>
        <v>40.75</v>
      </c>
      <c r="AL1336" s="5">
        <f t="shared" si="200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3315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201"/>
        <v>1</v>
      </c>
      <c r="Z1346" s="2" t="s">
        <v>119</v>
      </c>
      <c r="AA1346" s="2" t="s">
        <v>3379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132</v>
      </c>
      <c r="AL1346" s="5">
        <f t="shared" si="200"/>
        <v>1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3400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3331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3331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212"/>
        <v>1</v>
      </c>
      <c r="Z1401" s="2" t="s">
        <v>119</v>
      </c>
      <c r="AA1401" s="2" t="s">
        <v>3379</v>
      </c>
      <c r="AF1401" s="2">
        <f t="shared" si="202"/>
        <v>0</v>
      </c>
      <c r="AJ1401" s="2">
        <f t="shared" si="203"/>
        <v>0</v>
      </c>
      <c r="AK1401" s="2">
        <f t="shared" si="210"/>
        <v>42.77</v>
      </c>
      <c r="AL1401" s="5">
        <f t="shared" si="213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17"/>
        <v>1</v>
      </c>
      <c r="Z1435" s="2" t="s">
        <v>119</v>
      </c>
      <c r="AA1435" s="2" t="s">
        <v>3379</v>
      </c>
      <c r="AF1435" s="2">
        <f t="shared" si="214"/>
        <v>0</v>
      </c>
      <c r="AJ1435" s="2">
        <f t="shared" si="215"/>
        <v>0</v>
      </c>
      <c r="AK1435" s="2">
        <f t="shared" si="216"/>
        <v>11.4</v>
      </c>
      <c r="AL1435" s="5">
        <f t="shared" si="218"/>
        <v>1</v>
      </c>
    </row>
    <row r="1436" spans="1:38" x14ac:dyDescent="0.2">
      <c r="A1436" s="2">
        <v>2025</v>
      </c>
      <c r="B1436" s="2">
        <v>7</v>
      </c>
      <c r="C1436" s="2" t="s">
        <v>3399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3300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3300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3331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3331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19"/>
        <v>1</v>
      </c>
      <c r="Z1462" s="2" t="s">
        <v>119</v>
      </c>
      <c r="AA1462" s="2" t="s">
        <v>3379</v>
      </c>
      <c r="AF1462" s="2">
        <f t="shared" si="214"/>
        <v>0</v>
      </c>
      <c r="AJ1462" s="2">
        <f t="shared" si="215"/>
        <v>0</v>
      </c>
      <c r="AK1462" s="2">
        <f t="shared" si="220"/>
        <v>120.75</v>
      </c>
      <c r="AL1462" s="5">
        <f t="shared" si="221"/>
        <v>1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3423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3423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3423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3423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3423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3423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3392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3392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3392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3392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23"/>
        <v>1</v>
      </c>
      <c r="Z1499" s="2" t="s">
        <v>119</v>
      </c>
      <c r="AA1499" s="2" t="s">
        <v>3379</v>
      </c>
      <c r="AF1499" s="2">
        <f t="shared" si="226"/>
        <v>0</v>
      </c>
      <c r="AJ1499" s="2">
        <f t="shared" si="227"/>
        <v>0</v>
      </c>
      <c r="AK1499" s="2">
        <f t="shared" si="224"/>
        <v>21.6</v>
      </c>
      <c r="AL1499" s="5">
        <f t="shared" si="225"/>
        <v>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3416</v>
      </c>
      <c r="D1502" s="2" t="s">
        <v>3415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3416</v>
      </c>
      <c r="D1503" s="2" t="s">
        <v>3415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3416</v>
      </c>
      <c r="D1504" s="2" t="s">
        <v>3415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3416</v>
      </c>
      <c r="D1505" s="2" t="s">
        <v>3415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3416</v>
      </c>
      <c r="D1506" s="2" t="s">
        <v>3415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3323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30"/>
        <v>1</v>
      </c>
      <c r="Z1520" s="2" t="s">
        <v>119</v>
      </c>
      <c r="AA1520" s="2" t="s">
        <v>3379</v>
      </c>
      <c r="AF1520" s="2">
        <f t="shared" si="226"/>
        <v>0</v>
      </c>
      <c r="AJ1520" s="2">
        <f t="shared" si="227"/>
        <v>0</v>
      </c>
      <c r="AK1520" s="2">
        <f t="shared" si="228"/>
        <v>303</v>
      </c>
      <c r="AL1520" s="5">
        <f t="shared" si="229"/>
        <v>1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3416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3323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3392</v>
      </c>
      <c r="D1539" s="2" t="s">
        <v>3406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3392</v>
      </c>
      <c r="D1540" s="2" t="s">
        <v>3406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3392</v>
      </c>
      <c r="D1541" s="2" t="s">
        <v>3406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3392</v>
      </c>
      <c r="D1542" s="2" t="s">
        <v>3406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3392</v>
      </c>
      <c r="D1543" s="2" t="s">
        <v>3406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3392</v>
      </c>
      <c r="D1544" s="2" t="s">
        <v>3406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3416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3390</v>
      </c>
      <c r="D1567" s="15" t="s">
        <v>3336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3390</v>
      </c>
      <c r="D1568" s="15" t="s">
        <v>3336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3390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3392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45"/>
        <v>1</v>
      </c>
      <c r="Z1606" s="2" t="s">
        <v>119</v>
      </c>
      <c r="AA1606" s="2" t="s">
        <v>3379</v>
      </c>
      <c r="AF1606" s="2">
        <f t="shared" si="243"/>
        <v>0</v>
      </c>
      <c r="AJ1606" s="2">
        <f t="shared" si="244"/>
        <v>0</v>
      </c>
      <c r="AK1606" s="2">
        <f t="shared" si="246"/>
        <v>344.58</v>
      </c>
      <c r="AL1606" s="5">
        <f t="shared" si="247"/>
        <v>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3317</v>
      </c>
      <c r="D1645" s="2" t="s">
        <v>1750</v>
      </c>
      <c r="E1645" s="2" t="s">
        <v>38</v>
      </c>
      <c r="F1645" s="2" t="s">
        <v>39</v>
      </c>
      <c r="I1645" s="2" t="s">
        <v>3387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3317</v>
      </c>
      <c r="D1646" s="2" t="s">
        <v>1750</v>
      </c>
      <c r="E1646" s="2" t="s">
        <v>38</v>
      </c>
      <c r="F1646" s="2" t="s">
        <v>39</v>
      </c>
      <c r="I1646" s="2" t="s">
        <v>3387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3317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3317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3488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3488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3488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51"/>
        <v>1</v>
      </c>
      <c r="Z1683" s="2" t="s">
        <v>119</v>
      </c>
      <c r="AA1683" s="2" t="s">
        <v>3379</v>
      </c>
      <c r="AF1683" s="2">
        <f t="shared" si="253"/>
        <v>0</v>
      </c>
      <c r="AJ1683" s="2">
        <f t="shared" si="254"/>
        <v>0</v>
      </c>
      <c r="AK1683" s="2">
        <f t="shared" si="255"/>
        <v>99.75</v>
      </c>
      <c r="AL1683" s="5">
        <f t="shared" si="252"/>
        <v>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3491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3491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56"/>
        <v>1</v>
      </c>
      <c r="Z1697" s="2" t="s">
        <v>119</v>
      </c>
      <c r="AA1697" s="2" t="s">
        <v>3379</v>
      </c>
      <c r="AF1697" s="2">
        <f t="shared" si="253"/>
        <v>0</v>
      </c>
      <c r="AJ1697" s="2">
        <f t="shared" si="254"/>
        <v>0</v>
      </c>
      <c r="AK1697" s="2">
        <f t="shared" si="255"/>
        <v>267.18</v>
      </c>
      <c r="AL1697" s="5">
        <f t="shared" si="257"/>
        <v>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3409</v>
      </c>
      <c r="D1702" s="2" t="s">
        <v>3408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3402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3400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3331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3331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3331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3404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65">(T1734-W1734)/T1734</f>
        <v>1</v>
      </c>
      <c r="Z1734" s="2" t="s">
        <v>104</v>
      </c>
      <c r="AF1734" s="2">
        <f t="shared" si="261"/>
        <v>0</v>
      </c>
      <c r="AJ1734" s="2">
        <f t="shared" si="262"/>
        <v>0</v>
      </c>
      <c r="AK1734" s="2">
        <f t="shared" ref="AK1732:AK1763" si="266">T1734-W1734</f>
        <v>420</v>
      </c>
      <c r="AL1734" s="5">
        <f t="shared" si="260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65"/>
        <v>1</v>
      </c>
      <c r="Z1736" s="2" t="s">
        <v>104</v>
      </c>
      <c r="AF1736" s="2">
        <f t="shared" si="261"/>
        <v>0</v>
      </c>
      <c r="AJ1736" s="2">
        <f t="shared" si="262"/>
        <v>0</v>
      </c>
      <c r="AK1736" s="2">
        <f t="shared" si="266"/>
        <v>4350</v>
      </c>
      <c r="AL1736" s="5">
        <f t="shared" si="260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65"/>
        <v>1</v>
      </c>
      <c r="Z1737" s="2" t="s">
        <v>104</v>
      </c>
      <c r="AF1737" s="2">
        <f t="shared" si="261"/>
        <v>0</v>
      </c>
      <c r="AJ1737" s="2">
        <f t="shared" si="262"/>
        <v>0</v>
      </c>
      <c r="AK1737" s="2">
        <f t="shared" si="266"/>
        <v>3990</v>
      </c>
      <c r="AL1737" s="5">
        <f t="shared" si="260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3317</v>
      </c>
      <c r="D1741" s="2" t="s">
        <v>3316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3470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3470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3317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8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3410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3412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3410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3410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3331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3410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3410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3412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3412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3412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3412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86"/>
        <v>1</v>
      </c>
      <c r="Z1861" s="2" t="s">
        <v>119</v>
      </c>
      <c r="AA1861" s="2" t="s">
        <v>3379</v>
      </c>
      <c r="AF1861" s="2">
        <f t="shared" si="288"/>
        <v>0</v>
      </c>
      <c r="AJ1861" s="2">
        <f t="shared" si="289"/>
        <v>0</v>
      </c>
      <c r="AK1861" s="2">
        <f t="shared" si="284"/>
        <v>8000</v>
      </c>
      <c r="AL1861" s="5">
        <f t="shared" si="287"/>
        <v>1</v>
      </c>
    </row>
    <row r="1862" spans="1:38" x14ac:dyDescent="0.2">
      <c r="A1862" s="2">
        <v>2025</v>
      </c>
      <c r="B1862" s="2">
        <v>10</v>
      </c>
      <c r="C1862" s="2" t="s">
        <v>3487</v>
      </c>
      <c r="D1862" s="2" t="s">
        <v>3485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:AL1863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3487</v>
      </c>
      <c r="D1863" s="2" t="s">
        <v>3485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91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698.32</v>
      </c>
      <c r="AL1867" s="5">
        <f t="shared" si="287"/>
        <v>1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3403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3403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3487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3403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3403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3403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3403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3403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3403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3403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3412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3331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3331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3487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3487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3487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3403</v>
      </c>
      <c r="D1934" s="2" t="s">
        <v>3461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3403</v>
      </c>
      <c r="D1935" s="2" t="s">
        <v>3461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3403</v>
      </c>
      <c r="D1936" s="2" t="s">
        <v>3461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3403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3403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3403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3403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3487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3487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3487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3412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3331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3331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3412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3300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3300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3331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3331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3410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3331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312"/>
        <v>1</v>
      </c>
      <c r="Z2043" s="2" t="s">
        <v>119</v>
      </c>
      <c r="AA2043" s="2" t="s">
        <v>3379</v>
      </c>
      <c r="AF2043" s="2">
        <f t="shared" si="306"/>
        <v>0</v>
      </c>
      <c r="AJ2043" s="2">
        <f t="shared" si="307"/>
        <v>0</v>
      </c>
      <c r="AK2043" s="2">
        <f t="shared" si="310"/>
        <v>939.5</v>
      </c>
      <c r="AL2043" s="5">
        <f t="shared" si="313"/>
        <v>1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3452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3452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3452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316"/>
        <v>1</v>
      </c>
      <c r="Z2061" s="2" t="s">
        <v>119</v>
      </c>
      <c r="AA2061" s="2" t="s">
        <v>3379</v>
      </c>
      <c r="AF2061" s="2">
        <f t="shared" si="314"/>
        <v>0</v>
      </c>
      <c r="AJ2061" s="2">
        <f t="shared" si="315"/>
        <v>0</v>
      </c>
      <c r="AK2061" s="2">
        <f t="shared" si="310"/>
        <v>67.2</v>
      </c>
      <c r="AL2061" s="5">
        <f t="shared" si="317"/>
        <v>1</v>
      </c>
    </row>
    <row r="2062" spans="1:38" x14ac:dyDescent="0.2">
      <c r="A2062" s="2">
        <v>2025</v>
      </c>
      <c r="B2062" s="2">
        <v>11</v>
      </c>
      <c r="C2062" s="2" t="s">
        <v>3441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3441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3441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316"/>
        <v>1</v>
      </c>
      <c r="Z2067" s="2" t="s">
        <v>119</v>
      </c>
      <c r="AA2067" s="2" t="s">
        <v>3379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85.5</v>
      </c>
      <c r="AL2067" s="5">
        <f t="shared" si="317"/>
        <v>1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3412</v>
      </c>
      <c r="D2079" s="2" t="s">
        <v>3485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3393</v>
      </c>
      <c r="D2080" s="2" t="s">
        <v>3485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3382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320"/>
        <v>1</v>
      </c>
      <c r="Z2089" s="2" t="s">
        <v>119</v>
      </c>
      <c r="AA2089" s="2" t="s">
        <v>3379</v>
      </c>
      <c r="AF2089" s="2">
        <f t="shared" si="314"/>
        <v>0</v>
      </c>
      <c r="AJ2089" s="2">
        <f t="shared" si="315"/>
        <v>0</v>
      </c>
      <c r="AK2089" s="2">
        <f t="shared" si="318"/>
        <v>29.79</v>
      </c>
      <c r="AL2089" s="5">
        <f t="shared" si="319"/>
        <v>1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3439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3280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3439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3280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3331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3331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3441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3441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3441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321"/>
        <v>0</v>
      </c>
      <c r="AJ2125" s="2">
        <f t="shared" si="322"/>
        <v>0</v>
      </c>
      <c r="AK2125" s="2">
        <f t="shared" si="318"/>
        <v>0</v>
      </c>
      <c r="AL2125" s="5" t="e">
        <f t="shared" si="324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325">(T2126-W2126)/T2126</f>
        <v>1</v>
      </c>
      <c r="Z2126" s="2" t="s">
        <v>104</v>
      </c>
      <c r="AF2126" s="2">
        <f t="shared" si="321"/>
        <v>0</v>
      </c>
      <c r="AJ2126" s="2">
        <f t="shared" si="322"/>
        <v>0</v>
      </c>
      <c r="AK2126" s="2">
        <f t="shared" si="318"/>
        <v>13990</v>
      </c>
      <c r="AL2126" s="5">
        <f t="shared" si="324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3331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3331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3331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3331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29"/>
        <v>1</v>
      </c>
      <c r="Z2166" s="2" t="s">
        <v>119</v>
      </c>
      <c r="AA2166" s="2" t="s">
        <v>3379</v>
      </c>
      <c r="AF2166" s="2">
        <f t="shared" si="321"/>
        <v>0</v>
      </c>
      <c r="AJ2166" s="2">
        <f t="shared" si="322"/>
        <v>0</v>
      </c>
      <c r="AK2166" s="2">
        <f t="shared" si="326"/>
        <v>268.12</v>
      </c>
      <c r="AL2166" s="5">
        <f t="shared" si="328"/>
        <v>1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3393</v>
      </c>
      <c r="D2176" s="15" t="s">
        <v>3414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3393</v>
      </c>
      <c r="D2177" s="15" t="s">
        <v>3414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3331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3331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3393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3393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3439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40"/>
        <v>1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9.8000000000000007</v>
      </c>
      <c r="AL2241" s="5">
        <f t="shared" si="341"/>
        <v>1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40"/>
        <v>1</v>
      </c>
      <c r="Z2255" s="2" t="s">
        <v>104</v>
      </c>
      <c r="AF2255" s="2">
        <f t="shared" si="342"/>
        <v>0</v>
      </c>
      <c r="AJ2255" s="2">
        <f t="shared" si="343"/>
        <v>0</v>
      </c>
      <c r="AK2255" s="2">
        <f t="shared" si="338"/>
        <v>2190</v>
      </c>
      <c r="AL2255" s="5">
        <f t="shared" si="341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3331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3331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3385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3385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3386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3386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3386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3386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3386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3386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3385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3385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51"/>
        <v>1</v>
      </c>
      <c r="Z2322" s="2" t="s">
        <v>119</v>
      </c>
      <c r="AA2322" s="2" t="s">
        <v>3379</v>
      </c>
      <c r="AF2322" s="2">
        <f t="shared" si="352"/>
        <v>0</v>
      </c>
      <c r="AJ2322" s="2">
        <f t="shared" si="353"/>
        <v>0</v>
      </c>
      <c r="AK2322" s="2">
        <f t="shared" si="349"/>
        <v>297</v>
      </c>
      <c r="AL2322" s="5">
        <f t="shared" si="350"/>
        <v>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57"/>
        <v>1</v>
      </c>
      <c r="Z2350" s="2" t="s">
        <v>119</v>
      </c>
      <c r="AA2350" s="2" t="s">
        <v>3379</v>
      </c>
      <c r="AF2350" s="2">
        <f t="shared" si="352"/>
        <v>0</v>
      </c>
      <c r="AJ2350" s="2">
        <f t="shared" si="353"/>
        <v>0</v>
      </c>
      <c r="AK2350" s="2">
        <f t="shared" si="354"/>
        <v>18.260000000000002</v>
      </c>
      <c r="AL2350" s="5">
        <f t="shared" si="358"/>
        <v>1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3379</v>
      </c>
      <c r="AF2351" s="2">
        <f t="shared" si="352"/>
        <v>0</v>
      </c>
      <c r="AJ2351" s="2">
        <f t="shared" si="353"/>
        <v>0</v>
      </c>
      <c r="AK2351" s="2">
        <f t="shared" si="354"/>
        <v>-1520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59">T2352-W2352</f>
        <v>58.949999999999996</v>
      </c>
      <c r="AL2352" s="5">
        <f t="shared" ref="AL2352:AL2377" si="360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59"/>
        <v>16.875</v>
      </c>
      <c r="AL2353" s="5">
        <f t="shared" si="360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52"/>
        <v>0</v>
      </c>
      <c r="AJ2354" s="2">
        <f t="shared" si="353"/>
        <v>0</v>
      </c>
      <c r="AK2354" s="2">
        <f t="shared" si="359"/>
        <v>0</v>
      </c>
      <c r="AL2354" s="5" t="e">
        <f t="shared" si="360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61">(T2355-W2355)/T2355</f>
        <v>1</v>
      </c>
      <c r="AF2355" s="2">
        <f t="shared" si="352"/>
        <v>0</v>
      </c>
      <c r="AJ2355" s="2">
        <f t="shared" si="353"/>
        <v>0</v>
      </c>
      <c r="AK2355" s="2">
        <f t="shared" si="359"/>
        <v>669.3</v>
      </c>
      <c r="AL2355" s="5">
        <f t="shared" si="360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61"/>
        <v>1</v>
      </c>
      <c r="Z2356" s="2" t="s">
        <v>104</v>
      </c>
      <c r="AF2356" s="2">
        <f t="shared" si="352"/>
        <v>0</v>
      </c>
      <c r="AJ2356" s="2">
        <f t="shared" si="353"/>
        <v>0</v>
      </c>
      <c r="AK2356" s="2">
        <f t="shared" si="359"/>
        <v>11834</v>
      </c>
      <c r="AL2356" s="5">
        <f t="shared" si="360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1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59"/>
        <v>0</v>
      </c>
      <c r="AL2357" s="5" t="e">
        <f t="shared" si="360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61"/>
        <v>1</v>
      </c>
      <c r="Z2358" s="2" t="s">
        <v>119</v>
      </c>
      <c r="AA2358" s="2" t="s">
        <v>3379</v>
      </c>
      <c r="AF2358" s="2">
        <f t="shared" si="352"/>
        <v>0</v>
      </c>
      <c r="AJ2358" s="2">
        <f t="shared" si="353"/>
        <v>0</v>
      </c>
      <c r="AK2358" s="2">
        <f t="shared" si="359"/>
        <v>5000</v>
      </c>
      <c r="AL2358" s="5">
        <f t="shared" si="360"/>
        <v>1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1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59"/>
        <v>22.5</v>
      </c>
      <c r="AL2359" s="5">
        <f t="shared" si="360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1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59"/>
        <v>18</v>
      </c>
      <c r="AL2360" s="5">
        <f t="shared" si="360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1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59"/>
        <v>207.07439999999997</v>
      </c>
      <c r="AL2361" s="5">
        <f t="shared" si="360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1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59"/>
        <v>193.57920000000001</v>
      </c>
      <c r="AL2362" s="5">
        <f t="shared" si="360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1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59"/>
        <v>109</v>
      </c>
      <c r="AL2363" s="5">
        <f t="shared" si="360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1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59"/>
        <v>4320.6000000000004</v>
      </c>
      <c r="AL2364" s="5">
        <f t="shared" si="360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1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59"/>
        <v>239.8</v>
      </c>
      <c r="AL2365" s="5">
        <f t="shared" si="360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1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59"/>
        <v>759</v>
      </c>
      <c r="AL2366" s="5">
        <f t="shared" si="360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1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59"/>
        <v>960</v>
      </c>
      <c r="AL2367" s="5">
        <f t="shared" si="360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59"/>
        <v>0</v>
      </c>
      <c r="AL2368" s="5" t="e">
        <f t="shared" si="360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2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59"/>
        <v>18.878</v>
      </c>
      <c r="AL2369" s="5">
        <f t="shared" si="360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2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3">AJ2370</f>
        <v>0</v>
      </c>
      <c r="AG2370" s="2">
        <v>15.020300000000001</v>
      </c>
      <c r="AH2370" s="2">
        <v>27.6</v>
      </c>
      <c r="AJ2370" s="2">
        <f t="shared" ref="AJ2370:AJ2433" si="364">AI2370*T2370</f>
        <v>0</v>
      </c>
      <c r="AK2370" s="2">
        <f t="shared" si="359"/>
        <v>31.918799999999997</v>
      </c>
      <c r="AL2370" s="5">
        <f t="shared" si="360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2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3"/>
        <v>0</v>
      </c>
      <c r="AG2371" s="2">
        <v>11.295</v>
      </c>
      <c r="AJ2371" s="2">
        <f t="shared" si="364"/>
        <v>0</v>
      </c>
      <c r="AK2371" s="2">
        <f t="shared" si="359"/>
        <v>18.704999999999998</v>
      </c>
      <c r="AL2371" s="5">
        <f t="shared" si="360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2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3"/>
        <v>0</v>
      </c>
      <c r="AG2372" s="2">
        <v>7.2217000000000002</v>
      </c>
      <c r="AH2372" s="2">
        <v>14.4</v>
      </c>
      <c r="AJ2372" s="2">
        <f t="shared" si="364"/>
        <v>0</v>
      </c>
      <c r="AK2372" s="2">
        <f t="shared" si="359"/>
        <v>5.9782999999999991</v>
      </c>
      <c r="AL2372" s="5">
        <f t="shared" si="360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2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3"/>
        <v>0</v>
      </c>
      <c r="AJ2373" s="2">
        <f t="shared" si="364"/>
        <v>0</v>
      </c>
      <c r="AK2373" s="2">
        <f t="shared" si="359"/>
        <v>10.593299999999999</v>
      </c>
      <c r="AL2373" s="5">
        <f t="shared" si="360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2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3"/>
        <v>0</v>
      </c>
      <c r="AJ2374" s="2">
        <f t="shared" si="364"/>
        <v>0</v>
      </c>
      <c r="AK2374" s="2">
        <f t="shared" si="359"/>
        <v>25.150199999999998</v>
      </c>
      <c r="AL2374" s="5">
        <f t="shared" si="360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2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3"/>
        <v>0</v>
      </c>
      <c r="AJ2375" s="2">
        <f t="shared" si="364"/>
        <v>0</v>
      </c>
      <c r="AK2375" s="2">
        <f t="shared" si="359"/>
        <v>15.130800000000001</v>
      </c>
      <c r="AL2375" s="5">
        <f t="shared" si="360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2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3"/>
        <v>0</v>
      </c>
      <c r="AG2376" s="2">
        <v>0.98</v>
      </c>
      <c r="AH2376" s="2">
        <v>3</v>
      </c>
      <c r="AJ2376" s="2">
        <f t="shared" si="364"/>
        <v>0</v>
      </c>
      <c r="AK2376" s="2">
        <f t="shared" si="359"/>
        <v>4.0199999999999996</v>
      </c>
      <c r="AL2376" s="5">
        <f t="shared" si="360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2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3"/>
        <v>0</v>
      </c>
      <c r="AG2377" s="2">
        <v>6.8949999999999996</v>
      </c>
      <c r="AJ2377" s="2">
        <f t="shared" si="364"/>
        <v>0</v>
      </c>
      <c r="AK2377" s="2">
        <f t="shared" si="359"/>
        <v>8.1050000000000004</v>
      </c>
      <c r="AL2377" s="5">
        <f t="shared" si="360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3"/>
        <v>0</v>
      </c>
      <c r="AJ2378" s="2">
        <f t="shared" si="364"/>
        <v>0</v>
      </c>
      <c r="AK2378" s="2">
        <f t="shared" si="359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3"/>
        <v>0</v>
      </c>
      <c r="AJ2379" s="2">
        <f t="shared" si="364"/>
        <v>0</v>
      </c>
      <c r="AK2379" s="2">
        <f t="shared" si="359"/>
        <v>12.5</v>
      </c>
      <c r="AL2379" s="5">
        <f t="shared" ref="AL2379:AL2393" si="365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3"/>
        <v>0</v>
      </c>
      <c r="AJ2380" s="2">
        <f t="shared" si="364"/>
        <v>0</v>
      </c>
      <c r="AK2380" s="2">
        <f t="shared" si="359"/>
        <v>2210</v>
      </c>
      <c r="AL2380" s="5">
        <f t="shared" si="365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3"/>
        <v>0</v>
      </c>
      <c r="AJ2381" s="2">
        <f t="shared" si="364"/>
        <v>0</v>
      </c>
      <c r="AK2381" s="2">
        <f t="shared" si="359"/>
        <v>0</v>
      </c>
      <c r="AL2381" s="5" t="e">
        <f t="shared" si="365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6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3"/>
        <v>0</v>
      </c>
      <c r="AG2382" s="2">
        <v>6.6266999999999996</v>
      </c>
      <c r="AH2382" s="2">
        <v>12</v>
      </c>
      <c r="AJ2382" s="2">
        <f t="shared" si="364"/>
        <v>0</v>
      </c>
      <c r="AK2382" s="2">
        <f t="shared" si="359"/>
        <v>6.3733000000000004</v>
      </c>
      <c r="AL2382" s="5">
        <f t="shared" si="365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6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3"/>
        <v>0</v>
      </c>
      <c r="AJ2383" s="2">
        <f t="shared" si="364"/>
        <v>0</v>
      </c>
      <c r="AK2383" s="2">
        <f t="shared" si="359"/>
        <v>4.0600000000000005</v>
      </c>
      <c r="AL2383" s="5">
        <f t="shared" si="365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6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3"/>
        <v>0</v>
      </c>
      <c r="AJ2384" s="2">
        <f t="shared" si="364"/>
        <v>0</v>
      </c>
      <c r="AK2384" s="2">
        <f t="shared" ref="AK2384:AK2415" si="367">T2384-W2384</f>
        <v>4.4948999999999995</v>
      </c>
      <c r="AL2384" s="5">
        <f t="shared" si="365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66"/>
        <v>1</v>
      </c>
      <c r="Z2385" s="2" t="s">
        <v>119</v>
      </c>
      <c r="AA2385" s="2" t="s">
        <v>3379</v>
      </c>
      <c r="AF2385" s="2">
        <f t="shared" si="363"/>
        <v>0</v>
      </c>
      <c r="AJ2385" s="2">
        <f t="shared" si="364"/>
        <v>0</v>
      </c>
      <c r="AK2385" s="2">
        <f t="shared" si="367"/>
        <v>440</v>
      </c>
      <c r="AL2385" s="5">
        <f t="shared" si="365"/>
        <v>1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6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3"/>
        <v>0</v>
      </c>
      <c r="AJ2386" s="2">
        <f t="shared" si="364"/>
        <v>0</v>
      </c>
      <c r="AK2386" s="2">
        <f t="shared" si="367"/>
        <v>102</v>
      </c>
      <c r="AL2386" s="5">
        <f t="shared" si="365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6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3"/>
        <v>0</v>
      </c>
      <c r="AJ2387" s="2">
        <f t="shared" si="364"/>
        <v>0</v>
      </c>
      <c r="AK2387" s="2">
        <f t="shared" si="367"/>
        <v>18.75</v>
      </c>
      <c r="AL2387" s="5">
        <f t="shared" si="365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6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3"/>
        <v>0</v>
      </c>
      <c r="AJ2388" s="2">
        <f t="shared" si="364"/>
        <v>0</v>
      </c>
      <c r="AK2388" s="2">
        <f t="shared" si="367"/>
        <v>110.39999999999999</v>
      </c>
      <c r="AL2388" s="5">
        <f t="shared" si="365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6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3"/>
        <v>0</v>
      </c>
      <c r="AJ2389" s="2">
        <f t="shared" si="364"/>
        <v>0</v>
      </c>
      <c r="AK2389" s="2">
        <f t="shared" si="367"/>
        <v>62.5</v>
      </c>
      <c r="AL2389" s="5">
        <f t="shared" si="365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6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3"/>
        <v>0</v>
      </c>
      <c r="AJ2390" s="2">
        <f t="shared" si="364"/>
        <v>0</v>
      </c>
      <c r="AK2390" s="2">
        <f t="shared" si="367"/>
        <v>57</v>
      </c>
      <c r="AL2390" s="5">
        <f t="shared" si="365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6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3"/>
        <v>0</v>
      </c>
      <c r="AJ2391" s="2">
        <f t="shared" si="364"/>
        <v>0</v>
      </c>
      <c r="AK2391" s="2">
        <f t="shared" si="367"/>
        <v>25</v>
      </c>
      <c r="AL2391" s="5">
        <f t="shared" si="365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66"/>
        <v>1</v>
      </c>
      <c r="Z2392" s="2" t="s">
        <v>119</v>
      </c>
      <c r="AA2392" s="2" t="s">
        <v>3379</v>
      </c>
      <c r="AF2392" s="2">
        <f t="shared" si="363"/>
        <v>0</v>
      </c>
      <c r="AJ2392" s="2">
        <f t="shared" si="364"/>
        <v>0</v>
      </c>
      <c r="AK2392" s="2">
        <f t="shared" si="367"/>
        <v>99.75</v>
      </c>
      <c r="AL2392" s="5">
        <f t="shared" si="365"/>
        <v>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6"/>
        <v>1</v>
      </c>
      <c r="Z2393" s="2" t="s">
        <v>117</v>
      </c>
      <c r="AA2393" s="2" t="s">
        <v>317</v>
      </c>
      <c r="AF2393" s="2">
        <f t="shared" si="363"/>
        <v>0</v>
      </c>
      <c r="AJ2393" s="2">
        <f t="shared" si="364"/>
        <v>0</v>
      </c>
      <c r="AK2393" s="2">
        <f t="shared" si="367"/>
        <v>723.1</v>
      </c>
      <c r="AL2393" s="5">
        <f t="shared" si="365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3"/>
        <v>0</v>
      </c>
      <c r="AJ2394" s="2">
        <f t="shared" si="364"/>
        <v>0</v>
      </c>
      <c r="AK2394" s="2">
        <f t="shared" si="367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8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3"/>
        <v>0</v>
      </c>
      <c r="AG2395" s="2">
        <v>117.453</v>
      </c>
      <c r="AH2395" s="2">
        <v>220</v>
      </c>
      <c r="AJ2395" s="2">
        <f t="shared" si="364"/>
        <v>0</v>
      </c>
      <c r="AK2395" s="2">
        <f t="shared" si="367"/>
        <v>102.547</v>
      </c>
      <c r="AL2395" s="5">
        <f t="shared" ref="AL2395:AL2426" si="369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8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3"/>
        <v>0</v>
      </c>
      <c r="AJ2396" s="2">
        <f t="shared" si="364"/>
        <v>0</v>
      </c>
      <c r="AK2396" s="2">
        <f t="shared" si="367"/>
        <v>0</v>
      </c>
      <c r="AL2396" s="5">
        <f t="shared" si="369"/>
        <v>0</v>
      </c>
    </row>
    <row r="2397" spans="1:38" x14ac:dyDescent="0.2">
      <c r="A2397" s="2">
        <v>2025</v>
      </c>
      <c r="B2397" s="2">
        <v>12</v>
      </c>
      <c r="C2397" s="2" t="s">
        <v>3492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8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3"/>
        <v>0</v>
      </c>
      <c r="AJ2397" s="2">
        <f t="shared" si="364"/>
        <v>0</v>
      </c>
      <c r="AK2397" s="2">
        <f t="shared" si="367"/>
        <v>25.908000000000001</v>
      </c>
      <c r="AL2397" s="5">
        <f t="shared" si="369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8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3"/>
        <v>0</v>
      </c>
      <c r="AG2398" s="2">
        <v>5.9066999999999998</v>
      </c>
      <c r="AH2398" s="2">
        <v>12.6</v>
      </c>
      <c r="AJ2398" s="2">
        <f t="shared" si="364"/>
        <v>0</v>
      </c>
      <c r="AK2398" s="2">
        <f t="shared" si="367"/>
        <v>5.4333</v>
      </c>
      <c r="AL2398" s="5">
        <f t="shared" si="369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8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3"/>
        <v>0</v>
      </c>
      <c r="AG2399" s="2">
        <v>11.045</v>
      </c>
      <c r="AJ2399" s="2">
        <f t="shared" si="364"/>
        <v>0</v>
      </c>
      <c r="AK2399" s="2">
        <f t="shared" si="367"/>
        <v>10.435</v>
      </c>
      <c r="AL2399" s="5">
        <f t="shared" si="369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8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3"/>
        <v>0</v>
      </c>
      <c r="AG2400" s="2">
        <v>10.6</v>
      </c>
      <c r="AH2400" s="2">
        <v>18</v>
      </c>
      <c r="AJ2400" s="2">
        <f t="shared" si="364"/>
        <v>0</v>
      </c>
      <c r="AK2400" s="2">
        <f t="shared" si="367"/>
        <v>64</v>
      </c>
      <c r="AL2400" s="5">
        <f t="shared" si="369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8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3"/>
        <v>0</v>
      </c>
      <c r="AG2401" s="2">
        <v>8.1999999999999993</v>
      </c>
      <c r="AH2401" s="2">
        <v>13</v>
      </c>
      <c r="AJ2401" s="2">
        <f t="shared" si="364"/>
        <v>0</v>
      </c>
      <c r="AK2401" s="2">
        <f t="shared" si="367"/>
        <v>19</v>
      </c>
      <c r="AL2401" s="5">
        <f t="shared" si="369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8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3"/>
        <v>0</v>
      </c>
      <c r="AG2402" s="2">
        <v>7.9611999999999998</v>
      </c>
      <c r="AH2402" s="2">
        <v>14.4</v>
      </c>
      <c r="AJ2402" s="2">
        <f t="shared" si="364"/>
        <v>0</v>
      </c>
      <c r="AK2402" s="2">
        <f t="shared" si="367"/>
        <v>6.5888000000000009</v>
      </c>
      <c r="AL2402" s="5">
        <f t="shared" si="369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8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3"/>
        <v>0</v>
      </c>
      <c r="AJ2403" s="2">
        <f t="shared" si="364"/>
        <v>0</v>
      </c>
      <c r="AK2403" s="2">
        <f t="shared" si="367"/>
        <v>164.39999999999998</v>
      </c>
      <c r="AL2403" s="5">
        <f t="shared" si="369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8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3"/>
        <v>0</v>
      </c>
      <c r="AJ2404" s="2">
        <f t="shared" si="364"/>
        <v>0</v>
      </c>
      <c r="AK2404" s="2">
        <f t="shared" si="367"/>
        <v>31.25</v>
      </c>
      <c r="AL2404" s="5">
        <f t="shared" si="369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8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3"/>
        <v>0</v>
      </c>
      <c r="AJ2405" s="2">
        <f t="shared" si="364"/>
        <v>0</v>
      </c>
      <c r="AK2405" s="2">
        <f t="shared" si="367"/>
        <v>354.09659999999997</v>
      </c>
      <c r="AL2405" s="5">
        <f t="shared" si="369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8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3"/>
        <v>0</v>
      </c>
      <c r="AJ2406" s="2">
        <f t="shared" si="364"/>
        <v>0</v>
      </c>
      <c r="AK2406" s="2">
        <f t="shared" si="367"/>
        <v>104.39999999999999</v>
      </c>
      <c r="AL2406" s="5">
        <f t="shared" si="369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8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3"/>
        <v>0</v>
      </c>
      <c r="AJ2407" s="2">
        <f t="shared" si="364"/>
        <v>0</v>
      </c>
      <c r="AK2407" s="2">
        <f t="shared" si="367"/>
        <v>50</v>
      </c>
      <c r="AL2407" s="5">
        <f t="shared" si="369"/>
        <v>0.5</v>
      </c>
    </row>
    <row r="2408" spans="1:38" x14ac:dyDescent="0.2">
      <c r="A2408" s="2">
        <v>2025</v>
      </c>
      <c r="B2408" s="2">
        <v>12</v>
      </c>
      <c r="C2408" s="2" t="s">
        <v>3442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8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3"/>
        <v>0</v>
      </c>
      <c r="AJ2408" s="2">
        <f t="shared" si="364"/>
        <v>0</v>
      </c>
      <c r="AK2408" s="2">
        <f t="shared" si="367"/>
        <v>3.4948999999999999</v>
      </c>
      <c r="AL2408" s="5">
        <f t="shared" si="369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8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3"/>
        <v>0</v>
      </c>
      <c r="AJ2409" s="2">
        <f t="shared" si="364"/>
        <v>0</v>
      </c>
      <c r="AK2409" s="2">
        <f t="shared" si="367"/>
        <v>30</v>
      </c>
      <c r="AL2409" s="5">
        <f t="shared" si="369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8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3"/>
        <v>0</v>
      </c>
      <c r="AJ2410" s="2">
        <f t="shared" si="364"/>
        <v>0</v>
      </c>
      <c r="AK2410" s="2">
        <f t="shared" si="367"/>
        <v>31.25</v>
      </c>
      <c r="AL2410" s="5">
        <f t="shared" si="369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8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3"/>
        <v>0</v>
      </c>
      <c r="AJ2411" s="2">
        <f t="shared" si="364"/>
        <v>0</v>
      </c>
      <c r="AK2411" s="2">
        <f t="shared" si="367"/>
        <v>25.908000000000001</v>
      </c>
      <c r="AL2411" s="5">
        <f t="shared" si="369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8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3"/>
        <v>0</v>
      </c>
      <c r="AG2412" s="2">
        <v>122.446</v>
      </c>
      <c r="AH2412" s="2">
        <v>230</v>
      </c>
      <c r="AJ2412" s="2">
        <f t="shared" si="364"/>
        <v>0</v>
      </c>
      <c r="AK2412" s="2">
        <f t="shared" si="367"/>
        <v>87.554000000000002</v>
      </c>
      <c r="AL2412" s="5">
        <f t="shared" si="369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8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3"/>
        <v>0</v>
      </c>
      <c r="AJ2413" s="2">
        <f t="shared" si="364"/>
        <v>0</v>
      </c>
      <c r="AK2413" s="2">
        <f t="shared" si="367"/>
        <v>88.84</v>
      </c>
      <c r="AL2413" s="5">
        <f t="shared" si="369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8"/>
        <v>0.25</v>
      </c>
      <c r="Z2414" s="2" t="s">
        <v>169</v>
      </c>
      <c r="AA2414" s="2" t="s">
        <v>169</v>
      </c>
      <c r="AF2414" s="2">
        <f t="shared" si="363"/>
        <v>0</v>
      </c>
      <c r="AJ2414" s="2">
        <f t="shared" si="364"/>
        <v>0</v>
      </c>
      <c r="AK2414" s="2">
        <f t="shared" si="367"/>
        <v>10</v>
      </c>
      <c r="AL2414" s="5">
        <f t="shared" si="369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8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3"/>
        <v>0</v>
      </c>
      <c r="AJ2415" s="2">
        <f t="shared" si="364"/>
        <v>0</v>
      </c>
      <c r="AK2415" s="2">
        <f t="shared" si="367"/>
        <v>0</v>
      </c>
      <c r="AL2415" s="5">
        <f t="shared" si="369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8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3"/>
        <v>0</v>
      </c>
      <c r="AG2416" s="2">
        <v>117.453</v>
      </c>
      <c r="AH2416" s="2">
        <v>220</v>
      </c>
      <c r="AJ2416" s="2">
        <f t="shared" si="364"/>
        <v>0</v>
      </c>
      <c r="AK2416" s="2">
        <f t="shared" ref="AK2416:AK2450" si="370">T2416-W2416</f>
        <v>102.547</v>
      </c>
      <c r="AL2416" s="5">
        <f t="shared" si="369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8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3"/>
        <v>0</v>
      </c>
      <c r="AJ2417" s="2">
        <f t="shared" si="364"/>
        <v>0</v>
      </c>
      <c r="AK2417" s="2">
        <f t="shared" si="370"/>
        <v>24.75</v>
      </c>
      <c r="AL2417" s="5">
        <f t="shared" si="369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8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3"/>
        <v>0</v>
      </c>
      <c r="AJ2418" s="2">
        <f t="shared" si="364"/>
        <v>0</v>
      </c>
      <c r="AK2418" s="2">
        <f t="shared" si="370"/>
        <v>22.5</v>
      </c>
      <c r="AL2418" s="5">
        <f t="shared" si="369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8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3"/>
        <v>0</v>
      </c>
      <c r="AJ2419" s="2">
        <f t="shared" si="364"/>
        <v>0</v>
      </c>
      <c r="AK2419" s="2">
        <f t="shared" si="370"/>
        <v>0</v>
      </c>
      <c r="AL2419" s="5">
        <f t="shared" si="369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68"/>
        <v>1</v>
      </c>
      <c r="Z2420" s="2" t="s">
        <v>119</v>
      </c>
      <c r="AA2420" s="2" t="s">
        <v>3379</v>
      </c>
      <c r="AF2420" s="2">
        <f t="shared" si="363"/>
        <v>0</v>
      </c>
      <c r="AJ2420" s="2">
        <f t="shared" si="364"/>
        <v>0</v>
      </c>
      <c r="AK2420" s="2">
        <f t="shared" si="370"/>
        <v>28.5</v>
      </c>
      <c r="AL2420" s="5">
        <f t="shared" si="369"/>
        <v>1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8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3"/>
        <v>0</v>
      </c>
      <c r="AG2421" s="2">
        <v>10669.4</v>
      </c>
      <c r="AJ2421" s="2">
        <f t="shared" si="364"/>
        <v>0</v>
      </c>
      <c r="AK2421" s="2">
        <f t="shared" si="370"/>
        <v>4320.6000000000004</v>
      </c>
      <c r="AL2421" s="5">
        <f t="shared" si="369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8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3"/>
        <v>0</v>
      </c>
      <c r="AJ2422" s="2">
        <f t="shared" si="364"/>
        <v>0</v>
      </c>
      <c r="AK2422" s="2">
        <f t="shared" si="370"/>
        <v>25.908000000000001</v>
      </c>
      <c r="AL2422" s="5">
        <f t="shared" si="369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8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3"/>
        <v>0</v>
      </c>
      <c r="AG2423" s="2">
        <v>3.7555999999999998</v>
      </c>
      <c r="AH2423" s="2">
        <v>7.2</v>
      </c>
      <c r="AJ2423" s="2">
        <f t="shared" si="364"/>
        <v>0</v>
      </c>
      <c r="AK2423" s="2">
        <f t="shared" si="370"/>
        <v>22.755199999999999</v>
      </c>
      <c r="AL2423" s="5">
        <f t="shared" si="369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8"/>
        <v>0.55555555555555558</v>
      </c>
      <c r="Z2424" s="2" t="s">
        <v>169</v>
      </c>
      <c r="AA2424" s="2" t="s">
        <v>169</v>
      </c>
      <c r="AF2424" s="2">
        <f t="shared" si="363"/>
        <v>0</v>
      </c>
      <c r="AJ2424" s="2">
        <f t="shared" si="364"/>
        <v>0</v>
      </c>
      <c r="AK2424" s="2">
        <f t="shared" si="370"/>
        <v>7.5</v>
      </c>
      <c r="AL2424" s="5">
        <f t="shared" si="369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8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3"/>
        <v>0</v>
      </c>
      <c r="AG2425" s="2">
        <v>8.1999999999999993</v>
      </c>
      <c r="AH2425" s="2">
        <v>13</v>
      </c>
      <c r="AJ2425" s="2">
        <f t="shared" si="364"/>
        <v>0</v>
      </c>
      <c r="AK2425" s="2">
        <f t="shared" si="370"/>
        <v>9.5999999999999979</v>
      </c>
      <c r="AL2425" s="5">
        <f t="shared" si="369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8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3"/>
        <v>0</v>
      </c>
      <c r="AG2426" s="2">
        <v>10.6</v>
      </c>
      <c r="AH2426" s="2">
        <v>18</v>
      </c>
      <c r="AJ2426" s="2">
        <f t="shared" si="364"/>
        <v>0</v>
      </c>
      <c r="AK2426" s="2">
        <f t="shared" si="370"/>
        <v>7.4</v>
      </c>
      <c r="AL2426" s="5">
        <f t="shared" si="369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1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3"/>
        <v>0</v>
      </c>
      <c r="AG2427" s="2">
        <v>8.1999999999999993</v>
      </c>
      <c r="AH2427" s="2">
        <v>13</v>
      </c>
      <c r="AJ2427" s="2">
        <f t="shared" si="364"/>
        <v>0</v>
      </c>
      <c r="AK2427" s="2">
        <f t="shared" si="370"/>
        <v>4.7999999999999989</v>
      </c>
      <c r="AL2427" s="5">
        <f t="shared" ref="AL2427:AL2443" si="372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1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3"/>
        <v>0</v>
      </c>
      <c r="AG2428" s="2">
        <v>15.020300000000001</v>
      </c>
      <c r="AH2428" s="2">
        <v>27.6</v>
      </c>
      <c r="AJ2428" s="2">
        <f t="shared" si="364"/>
        <v>0</v>
      </c>
      <c r="AK2428" s="2">
        <f t="shared" si="370"/>
        <v>11.379699999999998</v>
      </c>
      <c r="AL2428" s="5">
        <f t="shared" si="372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71"/>
        <v>1</v>
      </c>
      <c r="Z2429" s="2" t="s">
        <v>117</v>
      </c>
      <c r="AF2429" s="2">
        <f t="shared" si="363"/>
        <v>0</v>
      </c>
      <c r="AJ2429" s="2">
        <f t="shared" si="364"/>
        <v>0</v>
      </c>
      <c r="AK2429" s="2">
        <f t="shared" si="370"/>
        <v>13500</v>
      </c>
      <c r="AL2429" s="5">
        <f t="shared" si="372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1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3"/>
        <v>0</v>
      </c>
      <c r="AG2430" s="2">
        <v>117.453</v>
      </c>
      <c r="AH2430" s="2">
        <v>220</v>
      </c>
      <c r="AJ2430" s="2">
        <f t="shared" si="364"/>
        <v>0</v>
      </c>
      <c r="AK2430" s="2">
        <f t="shared" si="370"/>
        <v>102.547</v>
      </c>
      <c r="AL2430" s="5">
        <f t="shared" si="372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1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3"/>
        <v>0</v>
      </c>
      <c r="AJ2431" s="2">
        <f t="shared" si="364"/>
        <v>0</v>
      </c>
      <c r="AK2431" s="2">
        <f t="shared" si="370"/>
        <v>0</v>
      </c>
      <c r="AL2431" s="5">
        <f t="shared" si="372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1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3"/>
        <v>0</v>
      </c>
      <c r="AJ2432" s="2">
        <f t="shared" si="364"/>
        <v>0</v>
      </c>
      <c r="AK2432" s="2">
        <f t="shared" si="370"/>
        <v>354.09659999999997</v>
      </c>
      <c r="AL2432" s="5">
        <f t="shared" si="372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1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3"/>
        <v>0</v>
      </c>
      <c r="AG2433" s="2">
        <v>9.3000000000000007</v>
      </c>
      <c r="AH2433" s="2">
        <v>21</v>
      </c>
      <c r="AJ2433" s="2">
        <f t="shared" si="364"/>
        <v>0</v>
      </c>
      <c r="AK2433" s="2">
        <f t="shared" si="370"/>
        <v>7.75</v>
      </c>
      <c r="AL2433" s="5">
        <f t="shared" si="372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1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3">AJ2434</f>
        <v>0</v>
      </c>
      <c r="AG2434" s="2">
        <v>6.6266999999999996</v>
      </c>
      <c r="AH2434" s="2">
        <v>12</v>
      </c>
      <c r="AJ2434" s="2">
        <f t="shared" ref="AJ2434:AJ2497" si="374">AI2434*T2434</f>
        <v>0</v>
      </c>
      <c r="AK2434" s="2">
        <f t="shared" si="370"/>
        <v>5.3733000000000004</v>
      </c>
      <c r="AL2434" s="5">
        <f t="shared" si="372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1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3"/>
        <v>0</v>
      </c>
      <c r="AG2435" s="2">
        <v>10.6</v>
      </c>
      <c r="AH2435" s="2">
        <v>18</v>
      </c>
      <c r="AJ2435" s="2">
        <f t="shared" si="374"/>
        <v>0</v>
      </c>
      <c r="AK2435" s="2">
        <f t="shared" si="370"/>
        <v>14.8</v>
      </c>
      <c r="AL2435" s="5">
        <f t="shared" si="372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1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3"/>
        <v>0</v>
      </c>
      <c r="AJ2436" s="2">
        <f t="shared" si="374"/>
        <v>0</v>
      </c>
      <c r="AK2436" s="2">
        <f t="shared" si="370"/>
        <v>36</v>
      </c>
      <c r="AL2436" s="5">
        <f t="shared" si="372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1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3"/>
        <v>0</v>
      </c>
      <c r="AJ2437" s="2">
        <f t="shared" si="374"/>
        <v>0</v>
      </c>
      <c r="AK2437" s="2">
        <f t="shared" si="370"/>
        <v>25</v>
      </c>
      <c r="AL2437" s="5">
        <f t="shared" si="372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1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3"/>
        <v>0</v>
      </c>
      <c r="AJ2438" s="2">
        <f t="shared" si="374"/>
        <v>0</v>
      </c>
      <c r="AK2438" s="2">
        <f t="shared" si="370"/>
        <v>352.72999999999996</v>
      </c>
      <c r="AL2438" s="5">
        <f t="shared" si="372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1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3"/>
        <v>0</v>
      </c>
      <c r="AJ2439" s="2">
        <f t="shared" si="374"/>
        <v>0</v>
      </c>
      <c r="AK2439" s="2">
        <f t="shared" si="370"/>
        <v>102.6</v>
      </c>
      <c r="AL2439" s="5">
        <f t="shared" si="372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1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3"/>
        <v>0</v>
      </c>
      <c r="AJ2440" s="2">
        <f t="shared" si="374"/>
        <v>0</v>
      </c>
      <c r="AK2440" s="2">
        <f t="shared" si="370"/>
        <v>25</v>
      </c>
      <c r="AL2440" s="5">
        <f t="shared" si="372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1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3"/>
        <v>0</v>
      </c>
      <c r="AJ2441" s="2">
        <f t="shared" si="374"/>
        <v>0</v>
      </c>
      <c r="AK2441" s="2">
        <f t="shared" si="370"/>
        <v>6662</v>
      </c>
      <c r="AL2441" s="5">
        <f t="shared" si="372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1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3"/>
        <v>0</v>
      </c>
      <c r="AJ2442" s="2">
        <f t="shared" si="374"/>
        <v>0</v>
      </c>
      <c r="AK2442" s="2">
        <f t="shared" si="370"/>
        <v>282.8</v>
      </c>
      <c r="AL2442" s="5">
        <f t="shared" si="372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1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3"/>
        <v>0</v>
      </c>
      <c r="AJ2443" s="2">
        <f t="shared" si="374"/>
        <v>0</v>
      </c>
      <c r="AK2443" s="2">
        <f t="shared" si="370"/>
        <v>42.599999999999994</v>
      </c>
      <c r="AL2443" s="5">
        <f t="shared" si="372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1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3"/>
        <v>0</v>
      </c>
      <c r="AJ2444" s="2">
        <f t="shared" si="374"/>
        <v>0</v>
      </c>
      <c r="AK2444" s="2">
        <f t="shared" si="370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71"/>
        <v>1</v>
      </c>
      <c r="Z2445" s="2" t="s">
        <v>119</v>
      </c>
      <c r="AA2445" s="2" t="s">
        <v>3379</v>
      </c>
      <c r="AF2445" s="2">
        <f t="shared" si="373"/>
        <v>0</v>
      </c>
      <c r="AJ2445" s="2">
        <f t="shared" si="374"/>
        <v>0</v>
      </c>
      <c r="AK2445" s="2">
        <f t="shared" si="370"/>
        <v>629.37</v>
      </c>
      <c r="AL2445" s="5">
        <f t="shared" ref="AL2445:AL2450" si="375">(T2445-W2445)/T2445</f>
        <v>1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1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3"/>
        <v>0</v>
      </c>
      <c r="AG2446" s="2">
        <v>8.1999999999999993</v>
      </c>
      <c r="AH2446" s="2">
        <v>13</v>
      </c>
      <c r="AJ2446" s="2">
        <f t="shared" si="374"/>
        <v>0</v>
      </c>
      <c r="AK2446" s="2">
        <f t="shared" si="370"/>
        <v>28</v>
      </c>
      <c r="AL2446" s="5">
        <f t="shared" si="375"/>
        <v>0.25454545454545452</v>
      </c>
    </row>
    <row r="2447" spans="1:38" x14ac:dyDescent="0.2">
      <c r="A2447" s="2">
        <v>2025</v>
      </c>
      <c r="B2447" s="2">
        <v>12</v>
      </c>
      <c r="C2447" s="2" t="s">
        <v>3515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1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3"/>
        <v>0</v>
      </c>
      <c r="AG2447" s="2">
        <v>117.453</v>
      </c>
      <c r="AH2447" s="2">
        <v>220</v>
      </c>
      <c r="AJ2447" s="2">
        <f t="shared" si="374"/>
        <v>0</v>
      </c>
      <c r="AK2447" s="2">
        <f t="shared" si="370"/>
        <v>102.547</v>
      </c>
      <c r="AL2447" s="5">
        <f t="shared" si="375"/>
        <v>0.46612272727272724</v>
      </c>
    </row>
    <row r="2448" spans="1:38" x14ac:dyDescent="0.2">
      <c r="A2448" s="2">
        <v>2025</v>
      </c>
      <c r="B2448" s="2">
        <v>12</v>
      </c>
      <c r="C2448" s="2" t="s">
        <v>3515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1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3"/>
        <v>0</v>
      </c>
      <c r="AJ2448" s="2">
        <f t="shared" si="374"/>
        <v>0</v>
      </c>
      <c r="AK2448" s="2">
        <f t="shared" si="370"/>
        <v>0</v>
      </c>
      <c r="AL2448" s="5">
        <f t="shared" si="375"/>
        <v>0</v>
      </c>
    </row>
    <row r="2449" spans="1:38" x14ac:dyDescent="0.2">
      <c r="A2449" s="2">
        <v>2025</v>
      </c>
      <c r="B2449" s="2">
        <v>12</v>
      </c>
      <c r="C2449" s="2" t="s">
        <v>3325</v>
      </c>
      <c r="D2449" s="2" t="s">
        <v>3460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1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3"/>
        <v>0</v>
      </c>
      <c r="AG2449" s="2">
        <v>6468.73</v>
      </c>
      <c r="AJ2449" s="2">
        <f t="shared" si="374"/>
        <v>0</v>
      </c>
      <c r="AK2449" s="2">
        <f t="shared" si="370"/>
        <v>2990.4799999999996</v>
      </c>
      <c r="AL2449" s="5">
        <f t="shared" si="375"/>
        <v>0.31614479433271908</v>
      </c>
    </row>
    <row r="2450" spans="1:38" x14ac:dyDescent="0.2">
      <c r="A2450" s="2">
        <v>2025</v>
      </c>
      <c r="B2450" s="2">
        <v>12</v>
      </c>
      <c r="C2450" s="2" t="s">
        <v>3459</v>
      </c>
      <c r="D2450" s="15" t="s">
        <v>3414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1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3"/>
        <v>0</v>
      </c>
      <c r="AG2450" s="2">
        <f>1294+95</f>
        <v>1389</v>
      </c>
      <c r="AJ2450" s="2">
        <f t="shared" si="374"/>
        <v>0</v>
      </c>
      <c r="AK2450" s="2">
        <f t="shared" si="370"/>
        <v>121</v>
      </c>
      <c r="AL2450" s="5">
        <f t="shared" si="375"/>
        <v>8.0132450331125829E-2</v>
      </c>
    </row>
    <row r="2451" spans="1:38" x14ac:dyDescent="0.2">
      <c r="A2451" s="2">
        <v>2025</v>
      </c>
      <c r="B2451" s="2">
        <v>12</v>
      </c>
      <c r="C2451" s="2" t="s">
        <v>3459</v>
      </c>
      <c r="D2451" s="15" t="s">
        <v>3414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3380</v>
      </c>
      <c r="AC2451" s="2" t="s">
        <v>1327</v>
      </c>
      <c r="AF2451" s="2">
        <f t="shared" si="373"/>
        <v>0</v>
      </c>
      <c r="AJ2451" s="2">
        <f t="shared" si="374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3459</v>
      </c>
      <c r="D2452" s="15" t="s">
        <v>3414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3"/>
        <v>0</v>
      </c>
      <c r="AG2452" s="2">
        <v>2190</v>
      </c>
      <c r="AJ2452" s="2">
        <f t="shared" si="374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3459</v>
      </c>
      <c r="D2453" s="15" t="s">
        <v>3414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3"/>
        <v>0</v>
      </c>
      <c r="AJ2453" s="2">
        <f t="shared" si="374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3"/>
        <v>0</v>
      </c>
      <c r="AG2454" s="2">
        <v>107.72</v>
      </c>
      <c r="AJ2454" s="2">
        <f t="shared" si="374"/>
        <v>0</v>
      </c>
      <c r="AK2454" s="2">
        <f t="shared" ref="AK2454:AK2488" si="376">T2454-W2454</f>
        <v>113.08000000000001</v>
      </c>
      <c r="AL2454" s="5">
        <f t="shared" ref="AL2454:AL2487" si="377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3"/>
        <v>0</v>
      </c>
      <c r="AJ2455" s="2">
        <f t="shared" si="374"/>
        <v>0</v>
      </c>
      <c r="AK2455" s="2">
        <f t="shared" si="376"/>
        <v>2</v>
      </c>
      <c r="AL2455" s="5">
        <f t="shared" si="377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3"/>
        <v>0</v>
      </c>
      <c r="AJ2456" s="2">
        <f t="shared" si="374"/>
        <v>0</v>
      </c>
      <c r="AK2456" s="2">
        <f t="shared" si="376"/>
        <v>0</v>
      </c>
      <c r="AL2456" s="5">
        <f t="shared" si="377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3"/>
        <v>0</v>
      </c>
      <c r="AJ2457" s="2">
        <f t="shared" si="374"/>
        <v>0</v>
      </c>
      <c r="AK2457" s="2">
        <f t="shared" si="376"/>
        <v>664.04</v>
      </c>
      <c r="AL2457" s="5">
        <f t="shared" si="377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3"/>
        <v>0</v>
      </c>
      <c r="AJ2458" s="2">
        <f t="shared" si="374"/>
        <v>0</v>
      </c>
      <c r="AK2458" s="2">
        <f t="shared" si="376"/>
        <v>0</v>
      </c>
      <c r="AL2458" s="5" t="e">
        <f t="shared" si="377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8">(T2459-W2459)/T2459</f>
        <v>1</v>
      </c>
      <c r="Z2459" s="2" t="s">
        <v>104</v>
      </c>
      <c r="AF2459" s="2">
        <f t="shared" si="373"/>
        <v>0</v>
      </c>
      <c r="AJ2459" s="2">
        <f t="shared" si="374"/>
        <v>0</v>
      </c>
      <c r="AK2459" s="2">
        <f t="shared" si="376"/>
        <v>8500</v>
      </c>
      <c r="AL2459" s="5">
        <f t="shared" si="377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8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3"/>
        <v>0</v>
      </c>
      <c r="AJ2460" s="2">
        <f t="shared" si="374"/>
        <v>0</v>
      </c>
      <c r="AK2460" s="2">
        <f t="shared" si="376"/>
        <v>4320.6000000000004</v>
      </c>
      <c r="AL2460" s="5">
        <f t="shared" si="377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8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3"/>
        <v>0</v>
      </c>
      <c r="AJ2461" s="2">
        <f t="shared" si="374"/>
        <v>0</v>
      </c>
      <c r="AK2461" s="2">
        <f t="shared" si="376"/>
        <v>30</v>
      </c>
      <c r="AL2461" s="5">
        <f t="shared" si="377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8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3"/>
        <v>0</v>
      </c>
      <c r="AJ2462" s="2">
        <f t="shared" si="374"/>
        <v>0</v>
      </c>
      <c r="AK2462" s="2">
        <f t="shared" si="376"/>
        <v>25</v>
      </c>
      <c r="AL2462" s="5">
        <f t="shared" si="377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78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3"/>
        <v>0</v>
      </c>
      <c r="AJ2463" s="2">
        <f t="shared" si="374"/>
        <v>0</v>
      </c>
      <c r="AK2463" s="2">
        <f t="shared" si="376"/>
        <v>699.3</v>
      </c>
      <c r="AL2463" s="5">
        <f t="shared" si="377"/>
        <v>1</v>
      </c>
    </row>
    <row r="2464" spans="1:38" x14ac:dyDescent="0.2">
      <c r="A2464" s="2">
        <v>2025</v>
      </c>
      <c r="B2464" s="2">
        <v>12</v>
      </c>
      <c r="C2464" s="2" t="s">
        <v>3325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8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3"/>
        <v>0</v>
      </c>
      <c r="AJ2464" s="2">
        <f t="shared" si="374"/>
        <v>0</v>
      </c>
      <c r="AK2464" s="2">
        <f t="shared" si="376"/>
        <v>254.19659999999999</v>
      </c>
      <c r="AL2464" s="5">
        <f t="shared" si="377"/>
        <v>0.42408508508508508</v>
      </c>
    </row>
    <row r="2465" spans="1:38" x14ac:dyDescent="0.2">
      <c r="A2465" s="2">
        <v>2025</v>
      </c>
      <c r="B2465" s="2">
        <v>12</v>
      </c>
      <c r="C2465" s="2" t="s">
        <v>3325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8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3"/>
        <v>0</v>
      </c>
      <c r="AJ2465" s="2">
        <f t="shared" si="374"/>
        <v>0</v>
      </c>
      <c r="AK2465" s="2">
        <f t="shared" si="376"/>
        <v>40.200000000000003</v>
      </c>
      <c r="AL2465" s="5">
        <f t="shared" si="377"/>
        <v>0.60000000000000009</v>
      </c>
    </row>
    <row r="2466" spans="1:38" x14ac:dyDescent="0.2">
      <c r="A2466" s="2">
        <v>2025</v>
      </c>
      <c r="B2466" s="2">
        <v>12</v>
      </c>
      <c r="C2466" s="2" t="s">
        <v>3325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8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3"/>
        <v>0</v>
      </c>
      <c r="AJ2466" s="2">
        <f t="shared" si="374"/>
        <v>0</v>
      </c>
      <c r="AK2466" s="2">
        <f t="shared" si="376"/>
        <v>25</v>
      </c>
      <c r="AL2466" s="5">
        <f t="shared" si="377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8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3"/>
        <v>0</v>
      </c>
      <c r="AG2467" s="2">
        <v>6.6266999999999996</v>
      </c>
      <c r="AH2467" s="2">
        <v>12</v>
      </c>
      <c r="AJ2467" s="2">
        <f t="shared" si="374"/>
        <v>0</v>
      </c>
      <c r="AK2467" s="2">
        <f t="shared" si="376"/>
        <v>10.746600000000001</v>
      </c>
      <c r="AL2467" s="5">
        <f t="shared" si="377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8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3"/>
        <v>0</v>
      </c>
      <c r="AJ2468" s="2">
        <f t="shared" si="374"/>
        <v>0</v>
      </c>
      <c r="AK2468" s="2">
        <f t="shared" si="376"/>
        <v>11.2</v>
      </c>
      <c r="AL2468" s="5">
        <f t="shared" si="377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8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3"/>
        <v>0</v>
      </c>
      <c r="AJ2469" s="2">
        <f t="shared" si="374"/>
        <v>0</v>
      </c>
      <c r="AK2469" s="2">
        <f t="shared" si="376"/>
        <v>11</v>
      </c>
      <c r="AL2469" s="5">
        <f t="shared" si="377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8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3"/>
        <v>0</v>
      </c>
      <c r="AG2470" s="2">
        <v>5.9066999999999998</v>
      </c>
      <c r="AH2470" s="2">
        <v>12.6</v>
      </c>
      <c r="AJ2470" s="2">
        <f t="shared" si="374"/>
        <v>0</v>
      </c>
      <c r="AK2470" s="2">
        <f t="shared" si="376"/>
        <v>6.0933000000000002</v>
      </c>
      <c r="AL2470" s="5">
        <f t="shared" si="377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8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3"/>
        <v>0</v>
      </c>
      <c r="AG2471" s="2">
        <v>7.2217000000000002</v>
      </c>
      <c r="AH2471" s="2">
        <v>14.4</v>
      </c>
      <c r="AJ2471" s="2">
        <f t="shared" si="374"/>
        <v>0</v>
      </c>
      <c r="AK2471" s="2">
        <f t="shared" si="376"/>
        <v>5.9782999999999991</v>
      </c>
      <c r="AL2471" s="5">
        <f t="shared" si="377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8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3"/>
        <v>0</v>
      </c>
      <c r="AJ2472" s="2">
        <f t="shared" si="374"/>
        <v>0</v>
      </c>
      <c r="AK2472" s="2">
        <f t="shared" si="376"/>
        <v>10.593299999999999</v>
      </c>
      <c r="AL2472" s="5">
        <f t="shared" si="377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8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3"/>
        <v>0</v>
      </c>
      <c r="AG2473" s="2">
        <v>10.6</v>
      </c>
      <c r="AH2473" s="2">
        <v>18</v>
      </c>
      <c r="AJ2473" s="2">
        <f t="shared" si="374"/>
        <v>0</v>
      </c>
      <c r="AK2473" s="2">
        <f t="shared" si="376"/>
        <v>24.400000000000002</v>
      </c>
      <c r="AL2473" s="5">
        <f t="shared" si="377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8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3"/>
        <v>0</v>
      </c>
      <c r="AJ2474" s="2">
        <f t="shared" si="374"/>
        <v>0</v>
      </c>
      <c r="AK2474" s="2">
        <f t="shared" si="376"/>
        <v>354.09659999999997</v>
      </c>
      <c r="AL2474" s="5">
        <f t="shared" si="377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8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3"/>
        <v>0</v>
      </c>
      <c r="AJ2475" s="2">
        <f t="shared" si="374"/>
        <v>0</v>
      </c>
      <c r="AK2475" s="2">
        <f t="shared" si="376"/>
        <v>69</v>
      </c>
      <c r="AL2475" s="5">
        <f t="shared" si="377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8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3"/>
        <v>0</v>
      </c>
      <c r="AJ2476" s="2">
        <f t="shared" si="374"/>
        <v>0</v>
      </c>
      <c r="AK2476" s="2">
        <f t="shared" si="376"/>
        <v>25</v>
      </c>
      <c r="AL2476" s="5">
        <f t="shared" si="377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8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3"/>
        <v>0</v>
      </c>
      <c r="AG2477" s="2">
        <v>15.020300000000001</v>
      </c>
      <c r="AH2477" s="2">
        <v>27.6</v>
      </c>
      <c r="AJ2477" s="2">
        <f t="shared" si="374"/>
        <v>0</v>
      </c>
      <c r="AK2477" s="2">
        <f t="shared" si="376"/>
        <v>64.796999999999997</v>
      </c>
      <c r="AL2477" s="5">
        <f t="shared" si="377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8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3"/>
        <v>0</v>
      </c>
      <c r="AG2478" s="2">
        <v>10.6</v>
      </c>
      <c r="AH2478" s="2">
        <v>18</v>
      </c>
      <c r="AJ2478" s="2">
        <f t="shared" si="374"/>
        <v>0</v>
      </c>
      <c r="AK2478" s="2">
        <f t="shared" si="376"/>
        <v>29.6</v>
      </c>
      <c r="AL2478" s="5">
        <f t="shared" si="377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8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3"/>
        <v>0</v>
      </c>
      <c r="AG2479" s="2">
        <v>8.1999999999999993</v>
      </c>
      <c r="AH2479" s="2">
        <v>13</v>
      </c>
      <c r="AJ2479" s="2">
        <f t="shared" si="374"/>
        <v>0</v>
      </c>
      <c r="AK2479" s="2">
        <f t="shared" si="376"/>
        <v>15.199999999999996</v>
      </c>
      <c r="AL2479" s="5">
        <f t="shared" si="377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8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3"/>
        <v>0</v>
      </c>
      <c r="AG2480" s="2">
        <v>7.9611999999999998</v>
      </c>
      <c r="AH2480" s="2">
        <v>14.4</v>
      </c>
      <c r="AJ2480" s="2">
        <f t="shared" si="374"/>
        <v>0</v>
      </c>
      <c r="AK2480" s="2">
        <f t="shared" si="376"/>
        <v>13.0776</v>
      </c>
      <c r="AL2480" s="5">
        <f t="shared" si="377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8"/>
        <v>1</v>
      </c>
      <c r="Z2481" s="2" t="s">
        <v>117</v>
      </c>
      <c r="AF2481" s="2">
        <f t="shared" si="373"/>
        <v>0</v>
      </c>
      <c r="AJ2481" s="2">
        <f t="shared" si="374"/>
        <v>0</v>
      </c>
      <c r="AK2481" s="2">
        <f t="shared" si="376"/>
        <v>65.72</v>
      </c>
      <c r="AL2481" s="5">
        <f t="shared" si="377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8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3"/>
        <v>0</v>
      </c>
      <c r="AJ2482" s="2">
        <f t="shared" si="374"/>
        <v>0</v>
      </c>
      <c r="AK2482" s="2">
        <f t="shared" si="376"/>
        <v>17.91</v>
      </c>
      <c r="AL2482" s="5">
        <f t="shared" si="377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8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3"/>
        <v>0</v>
      </c>
      <c r="AJ2483" s="2">
        <f t="shared" si="374"/>
        <v>0</v>
      </c>
      <c r="AK2483" s="2">
        <f t="shared" si="376"/>
        <v>110.39999999999999</v>
      </c>
      <c r="AL2483" s="5">
        <f t="shared" si="377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8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3"/>
        <v>0</v>
      </c>
      <c r="AJ2484" s="2">
        <f t="shared" si="374"/>
        <v>0</v>
      </c>
      <c r="AK2484" s="2">
        <f t="shared" si="376"/>
        <v>31.25</v>
      </c>
      <c r="AL2484" s="5">
        <f t="shared" si="377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8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3"/>
        <v>0</v>
      </c>
      <c r="AG2485" s="2">
        <v>6468.73</v>
      </c>
      <c r="AJ2485" s="2">
        <f t="shared" si="374"/>
        <v>0</v>
      </c>
      <c r="AK2485" s="2">
        <f t="shared" si="376"/>
        <v>3461.2700000000004</v>
      </c>
      <c r="AL2485" s="5">
        <f t="shared" si="377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8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3"/>
        <v>0</v>
      </c>
      <c r="AG2486" s="2">
        <v>117.453</v>
      </c>
      <c r="AH2486" s="2">
        <v>220</v>
      </c>
      <c r="AJ2486" s="2">
        <f t="shared" si="374"/>
        <v>0</v>
      </c>
      <c r="AK2486" s="2">
        <f t="shared" si="376"/>
        <v>102.42699999999999</v>
      </c>
      <c r="AL2486" s="5">
        <f t="shared" si="377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8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3"/>
        <v>0</v>
      </c>
      <c r="AJ2487" s="2">
        <f t="shared" si="374"/>
        <v>0</v>
      </c>
      <c r="AK2487" s="2">
        <f t="shared" si="376"/>
        <v>113.60999999999999</v>
      </c>
      <c r="AL2487" s="5">
        <f t="shared" si="377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3"/>
        <v>0</v>
      </c>
      <c r="AJ2488" s="2">
        <f t="shared" si="374"/>
        <v>0</v>
      </c>
      <c r="AK2488" s="2">
        <f t="shared" si="376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3"/>
        <v>0</v>
      </c>
      <c r="AJ2489" s="2">
        <f t="shared" si="374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3"/>
        <v>0</v>
      </c>
      <c r="AJ2490" s="2">
        <f t="shared" si="374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3"/>
        <v>0</v>
      </c>
      <c r="AJ2491" s="2">
        <f t="shared" si="374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3"/>
        <v>0</v>
      </c>
      <c r="AJ2492" s="2">
        <f t="shared" si="374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3"/>
        <v>0</v>
      </c>
      <c r="AJ2493" s="2">
        <f t="shared" si="374"/>
        <v>0</v>
      </c>
      <c r="AK2493" s="2">
        <f t="shared" ref="AK2493" si="379">T2493-W2493</f>
        <v>-1125.46</v>
      </c>
      <c r="AL2493" s="18">
        <f t="shared" ref="AL2493" si="380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1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3"/>
        <v>0</v>
      </c>
      <c r="AJ2494" s="2">
        <f t="shared" si="374"/>
        <v>0</v>
      </c>
      <c r="AK2494" s="2">
        <f t="shared" ref="AK2494:AK2515" si="382">T2494-W2494</f>
        <v>173.82000000000005</v>
      </c>
      <c r="AL2494" s="5">
        <f t="shared" ref="AL2494:AL2513" si="383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1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3"/>
        <v>0</v>
      </c>
      <c r="AJ2495" s="2">
        <f t="shared" si="374"/>
        <v>0</v>
      </c>
      <c r="AK2495" s="2">
        <f t="shared" si="382"/>
        <v>25.8736</v>
      </c>
      <c r="AL2495" s="5">
        <f t="shared" si="383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1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3"/>
        <v>0</v>
      </c>
      <c r="AJ2496" s="2">
        <f t="shared" si="374"/>
        <v>0</v>
      </c>
      <c r="AK2496" s="2">
        <f t="shared" si="382"/>
        <v>40.25</v>
      </c>
      <c r="AL2496" s="5">
        <f t="shared" si="383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1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3"/>
        <v>0</v>
      </c>
      <c r="AJ2497" s="2">
        <f t="shared" si="374"/>
        <v>0</v>
      </c>
      <c r="AK2497" s="2">
        <f t="shared" si="382"/>
        <v>42.200000000000045</v>
      </c>
      <c r="AL2497" s="5">
        <f t="shared" si="383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1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4">AJ2498</f>
        <v>0</v>
      </c>
      <c r="AJ2498" s="2">
        <f t="shared" ref="AJ2498:AJ2561" si="385">AI2498*T2498</f>
        <v>0</v>
      </c>
      <c r="AK2498" s="2">
        <f t="shared" si="382"/>
        <v>30.049999999999955</v>
      </c>
      <c r="AL2498" s="5">
        <f t="shared" si="383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1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4"/>
        <v>0</v>
      </c>
      <c r="AJ2499" s="2">
        <f t="shared" si="385"/>
        <v>0</v>
      </c>
      <c r="AK2499" s="2">
        <f t="shared" si="382"/>
        <v>64.29000000000002</v>
      </c>
      <c r="AL2499" s="5">
        <f t="shared" si="383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1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4"/>
        <v>0</v>
      </c>
      <c r="AJ2500" s="2">
        <f t="shared" si="385"/>
        <v>0</v>
      </c>
      <c r="AK2500" s="2">
        <f t="shared" si="382"/>
        <v>160.37</v>
      </c>
      <c r="AL2500" s="5">
        <f t="shared" si="383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1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4"/>
        <v>0</v>
      </c>
      <c r="AJ2501" s="2">
        <f t="shared" si="385"/>
        <v>0</v>
      </c>
      <c r="AK2501" s="2">
        <f t="shared" si="382"/>
        <v>161.70000000000005</v>
      </c>
      <c r="AL2501" s="5">
        <f t="shared" si="383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1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4"/>
        <v>0</v>
      </c>
      <c r="AJ2502" s="2">
        <f t="shared" si="385"/>
        <v>0</v>
      </c>
      <c r="AK2502" s="2">
        <f t="shared" si="382"/>
        <v>64.680000000000007</v>
      </c>
      <c r="AL2502" s="5">
        <f t="shared" si="383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3385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1"/>
        <v>0</v>
      </c>
      <c r="Z2503" s="2" t="s">
        <v>3226</v>
      </c>
      <c r="AA2503" s="2" t="s">
        <v>2167</v>
      </c>
      <c r="AB2503" s="2" t="s">
        <v>2168</v>
      </c>
      <c r="AC2503" s="2" t="s">
        <v>3385</v>
      </c>
      <c r="AF2503" s="2">
        <f t="shared" si="384"/>
        <v>0</v>
      </c>
      <c r="AJ2503" s="2">
        <f t="shared" si="385"/>
        <v>0</v>
      </c>
      <c r="AK2503" s="2">
        <f t="shared" si="382"/>
        <v>0</v>
      </c>
      <c r="AL2503" s="5">
        <f t="shared" si="383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3395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1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3395</v>
      </c>
      <c r="AF2504" s="2">
        <f t="shared" si="384"/>
        <v>0</v>
      </c>
      <c r="AJ2504" s="2">
        <f t="shared" si="385"/>
        <v>0</v>
      </c>
      <c r="AK2504" s="2">
        <f t="shared" si="382"/>
        <v>0.28999999999999204</v>
      </c>
      <c r="AL2504" s="5">
        <f t="shared" si="383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3395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1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3395</v>
      </c>
      <c r="AF2505" s="2">
        <f t="shared" si="384"/>
        <v>0</v>
      </c>
      <c r="AJ2505" s="2">
        <f t="shared" si="385"/>
        <v>0</v>
      </c>
      <c r="AK2505" s="2">
        <f t="shared" si="382"/>
        <v>0.28999999999999204</v>
      </c>
      <c r="AL2505" s="5">
        <f t="shared" si="383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1"/>
        <v>-0.65217391304347827</v>
      </c>
      <c r="Z2506" s="2" t="s">
        <v>169</v>
      </c>
      <c r="AA2506" s="2" t="s">
        <v>169</v>
      </c>
      <c r="AF2506" s="2">
        <f t="shared" si="384"/>
        <v>0</v>
      </c>
      <c r="AJ2506" s="2">
        <f t="shared" si="385"/>
        <v>0</v>
      </c>
      <c r="AK2506" s="2">
        <f t="shared" si="382"/>
        <v>-75</v>
      </c>
      <c r="AL2506" s="5">
        <f t="shared" si="383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1"/>
        <v>1</v>
      </c>
      <c r="Z2507" s="2" t="s">
        <v>117</v>
      </c>
      <c r="AF2507" s="2">
        <f t="shared" si="384"/>
        <v>0</v>
      </c>
      <c r="AJ2507" s="2">
        <f t="shared" si="385"/>
        <v>0</v>
      </c>
      <c r="AK2507" s="2">
        <f t="shared" si="382"/>
        <v>10.78</v>
      </c>
      <c r="AL2507" s="5">
        <f t="shared" si="383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1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4"/>
        <v>0</v>
      </c>
      <c r="AJ2508" s="2">
        <f t="shared" si="385"/>
        <v>0</v>
      </c>
      <c r="AK2508" s="2">
        <f t="shared" si="382"/>
        <v>43.8</v>
      </c>
      <c r="AL2508" s="5">
        <f t="shared" si="383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1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4"/>
        <v>0</v>
      </c>
      <c r="AJ2509" s="2">
        <f t="shared" si="385"/>
        <v>0</v>
      </c>
      <c r="AK2509" s="2">
        <f t="shared" si="382"/>
        <v>25</v>
      </c>
      <c r="AL2509" s="5">
        <f t="shared" si="383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81"/>
        <v>1</v>
      </c>
      <c r="Z2510" s="2" t="s">
        <v>119</v>
      </c>
      <c r="AA2510" s="2" t="s">
        <v>3379</v>
      </c>
      <c r="AF2510" s="2">
        <f t="shared" si="384"/>
        <v>0</v>
      </c>
      <c r="AJ2510" s="2">
        <f t="shared" si="385"/>
        <v>0</v>
      </c>
      <c r="AK2510" s="2">
        <f t="shared" si="382"/>
        <v>50.05</v>
      </c>
      <c r="AL2510" s="5">
        <f t="shared" si="383"/>
        <v>1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1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4"/>
        <v>0</v>
      </c>
      <c r="AG2511" s="2">
        <f>10972.65+500</f>
        <v>11472.65</v>
      </c>
      <c r="AJ2511" s="2">
        <f t="shared" si="385"/>
        <v>0</v>
      </c>
      <c r="AK2511" s="2">
        <f t="shared" si="382"/>
        <v>5517.35</v>
      </c>
      <c r="AL2511" s="5">
        <f t="shared" si="383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1"/>
        <v>1</v>
      </c>
      <c r="Z2512" s="2" t="s">
        <v>117</v>
      </c>
      <c r="AF2512" s="2">
        <f t="shared" si="384"/>
        <v>0</v>
      </c>
      <c r="AJ2512" s="2">
        <f t="shared" si="385"/>
        <v>0</v>
      </c>
      <c r="AK2512" s="2">
        <f t="shared" si="382"/>
        <v>94.68</v>
      </c>
      <c r="AL2512" s="5">
        <f t="shared" si="383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1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4"/>
        <v>0</v>
      </c>
      <c r="AJ2513" s="2">
        <f t="shared" si="385"/>
        <v>0</v>
      </c>
      <c r="AK2513" s="2">
        <f t="shared" si="382"/>
        <v>10849.029999999999</v>
      </c>
      <c r="AL2513" s="5">
        <f t="shared" si="383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4"/>
        <v>0</v>
      </c>
      <c r="AG2514" s="2">
        <f>144.14+15.4</f>
        <v>159.54</v>
      </c>
      <c r="AH2514" s="2">
        <v>280</v>
      </c>
      <c r="AJ2514" s="2">
        <f t="shared" si="385"/>
        <v>0</v>
      </c>
      <c r="AK2514" s="2">
        <f t="shared" si="382"/>
        <v>-407.94</v>
      </c>
      <c r="AL2514" s="18">
        <f t="shared" ref="AL2514:AL2515" si="386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4"/>
        <v>0</v>
      </c>
      <c r="AJ2515" s="2">
        <f t="shared" si="385"/>
        <v>0</v>
      </c>
      <c r="AK2515" s="2">
        <f t="shared" si="382"/>
        <v>-2.2799999999999998</v>
      </c>
      <c r="AL2515" s="18">
        <f t="shared" si="386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4"/>
        <v>0</v>
      </c>
      <c r="AJ2516" s="2">
        <f t="shared" si="385"/>
        <v>0</v>
      </c>
      <c r="AK2516" s="2">
        <f t="shared" ref="AK2516:AK2579" si="38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4"/>
        <v>0</v>
      </c>
      <c r="AG2517" s="2">
        <v>6.6266999999999996</v>
      </c>
      <c r="AH2517" s="2">
        <v>12</v>
      </c>
      <c r="AJ2517" s="2">
        <f t="shared" si="385"/>
        <v>0</v>
      </c>
      <c r="AK2517" s="2">
        <f t="shared" si="38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4"/>
        <v>0</v>
      </c>
      <c r="AG2518" s="2">
        <v>3.7357999999999998</v>
      </c>
      <c r="AH2518" s="2">
        <v>9</v>
      </c>
      <c r="AJ2518" s="2">
        <f t="shared" si="385"/>
        <v>0</v>
      </c>
      <c r="AK2518" s="2">
        <f t="shared" si="38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4"/>
        <v>0</v>
      </c>
      <c r="AJ2519" s="2">
        <f t="shared" si="385"/>
        <v>0</v>
      </c>
      <c r="AK2519" s="2">
        <f t="shared" si="38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4"/>
        <v>0</v>
      </c>
      <c r="AJ2520" s="2">
        <f t="shared" si="385"/>
        <v>0</v>
      </c>
      <c r="AK2520" s="2">
        <f t="shared" si="38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4"/>
        <v>0</v>
      </c>
      <c r="AG2521" s="2">
        <v>9.14</v>
      </c>
      <c r="AH2521" s="2">
        <v>16</v>
      </c>
      <c r="AJ2521" s="2">
        <f t="shared" si="385"/>
        <v>0</v>
      </c>
      <c r="AK2521" s="2">
        <f t="shared" si="38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4"/>
        <v>0</v>
      </c>
      <c r="AG2522" s="2">
        <v>8.1999999999999993</v>
      </c>
      <c r="AH2522" s="2">
        <v>13</v>
      </c>
      <c r="AJ2522" s="2">
        <f t="shared" si="385"/>
        <v>0</v>
      </c>
      <c r="AK2522" s="2">
        <f t="shared" si="38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4"/>
        <v>0</v>
      </c>
      <c r="AJ2523" s="2">
        <f t="shared" si="385"/>
        <v>0</v>
      </c>
      <c r="AK2523" s="2">
        <f t="shared" si="38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4"/>
        <v>0</v>
      </c>
      <c r="AG2524" s="2">
        <v>15.020300000000001</v>
      </c>
      <c r="AH2524" s="2">
        <v>27.6</v>
      </c>
      <c r="AJ2524" s="2">
        <f t="shared" si="385"/>
        <v>0</v>
      </c>
      <c r="AK2524" s="2">
        <f t="shared" si="38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4"/>
        <v>0</v>
      </c>
      <c r="AJ2525" s="2">
        <f t="shared" si="385"/>
        <v>0</v>
      </c>
      <c r="AK2525" s="2">
        <f t="shared" si="387"/>
        <v>0</v>
      </c>
      <c r="AL2525" s="5" t="e">
        <f t="shared" ref="AL2525:AL2588" si="38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3226</v>
      </c>
      <c r="AA2526" s="2" t="s">
        <v>87</v>
      </c>
      <c r="AB2526" s="2" t="s">
        <v>60</v>
      </c>
      <c r="AC2526" s="2" t="s">
        <v>84</v>
      </c>
      <c r="AF2526" s="2">
        <f t="shared" si="384"/>
        <v>0</v>
      </c>
      <c r="AJ2526" s="2">
        <f t="shared" si="385"/>
        <v>0</v>
      </c>
      <c r="AK2526" s="2">
        <f t="shared" si="387"/>
        <v>0</v>
      </c>
      <c r="AL2526" s="5" t="e">
        <f t="shared" si="388"/>
        <v>#DIV/0!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4"/>
        <v>0</v>
      </c>
      <c r="AJ2527" s="2">
        <f t="shared" si="385"/>
        <v>0</v>
      </c>
      <c r="AK2527" s="2">
        <f t="shared" si="387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89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4"/>
        <v>0</v>
      </c>
      <c r="AJ2528" s="2">
        <f t="shared" si="385"/>
        <v>0</v>
      </c>
      <c r="AK2528" s="2">
        <f t="shared" si="387"/>
        <v>9.5599999999999987</v>
      </c>
      <c r="AL2528" s="5">
        <f t="shared" si="388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89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4"/>
        <v>0</v>
      </c>
      <c r="AG2529" s="2">
        <v>10.6</v>
      </c>
      <c r="AH2529" s="2">
        <v>18</v>
      </c>
      <c r="AJ2529" s="2">
        <f t="shared" si="385"/>
        <v>0</v>
      </c>
      <c r="AK2529" s="2">
        <f t="shared" si="387"/>
        <v>27</v>
      </c>
      <c r="AL2529" s="5">
        <f t="shared" si="388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89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4"/>
        <v>0</v>
      </c>
      <c r="AG2530" s="2">
        <v>15.020300000000001</v>
      </c>
      <c r="AH2530" s="2">
        <v>27.6</v>
      </c>
      <c r="AJ2530" s="2">
        <f t="shared" si="385"/>
        <v>0</v>
      </c>
      <c r="AK2530" s="2">
        <f t="shared" si="387"/>
        <v>9.9796999999999993</v>
      </c>
      <c r="AL2530" s="5">
        <f t="shared" si="388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89"/>
        <v>-0.2</v>
      </c>
      <c r="Z2531" s="2" t="s">
        <v>169</v>
      </c>
      <c r="AA2531" s="2" t="s">
        <v>169</v>
      </c>
      <c r="AF2531" s="2">
        <f t="shared" si="384"/>
        <v>0</v>
      </c>
      <c r="AJ2531" s="2">
        <f t="shared" si="385"/>
        <v>0</v>
      </c>
      <c r="AK2531" s="2">
        <f t="shared" si="387"/>
        <v>-1</v>
      </c>
      <c r="AL2531" s="5">
        <f t="shared" si="388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89"/>
        <v>0.88333333333333341</v>
      </c>
      <c r="Z2532" s="2" t="s">
        <v>3226</v>
      </c>
      <c r="AA2532" s="2" t="s">
        <v>155</v>
      </c>
      <c r="AB2532" s="2" t="s">
        <v>3402</v>
      </c>
      <c r="AC2532" s="2" t="s">
        <v>1327</v>
      </c>
      <c r="AF2532" s="2">
        <f t="shared" si="384"/>
        <v>0</v>
      </c>
      <c r="AJ2532" s="2">
        <f t="shared" si="385"/>
        <v>0</v>
      </c>
      <c r="AK2532" s="2">
        <f t="shared" si="387"/>
        <v>47.7</v>
      </c>
      <c r="AL2532" s="5">
        <f t="shared" si="388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89"/>
        <v>0.30000000000000004</v>
      </c>
      <c r="Z2533" s="2" t="s">
        <v>3226</v>
      </c>
      <c r="AA2533" s="2" t="s">
        <v>155</v>
      </c>
      <c r="AB2533" s="2" t="s">
        <v>3402</v>
      </c>
      <c r="AC2533" s="2" t="s">
        <v>1327</v>
      </c>
      <c r="AF2533" s="2">
        <f t="shared" si="384"/>
        <v>0</v>
      </c>
      <c r="AJ2533" s="2">
        <f t="shared" si="385"/>
        <v>0</v>
      </c>
      <c r="AK2533" s="2">
        <f t="shared" si="387"/>
        <v>9.6000000000000014</v>
      </c>
      <c r="AL2533" s="5">
        <f t="shared" si="388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89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4"/>
        <v>0</v>
      </c>
      <c r="AG2534" s="2">
        <v>124.4</v>
      </c>
      <c r="AH2534" s="2">
        <v>200</v>
      </c>
      <c r="AJ2534" s="2">
        <f t="shared" si="385"/>
        <v>0</v>
      </c>
      <c r="AK2534" s="2">
        <f t="shared" si="387"/>
        <v>89</v>
      </c>
      <c r="AL2534" s="5">
        <f t="shared" si="388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89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4"/>
        <v>0</v>
      </c>
      <c r="AJ2535" s="2">
        <f t="shared" si="385"/>
        <v>0</v>
      </c>
      <c r="AK2535" s="2">
        <f t="shared" si="387"/>
        <v>93.00500000000001</v>
      </c>
      <c r="AL2535" s="5">
        <f t="shared" si="388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89"/>
        <v>0.23333333333333334</v>
      </c>
      <c r="Z2536" s="2" t="s">
        <v>169</v>
      </c>
      <c r="AA2536" s="2" t="s">
        <v>169</v>
      </c>
      <c r="AF2536" s="2">
        <f t="shared" si="384"/>
        <v>0</v>
      </c>
      <c r="AJ2536" s="2">
        <f t="shared" si="385"/>
        <v>0</v>
      </c>
      <c r="AK2536" s="2">
        <f t="shared" si="387"/>
        <v>7</v>
      </c>
      <c r="AL2536" s="5">
        <f t="shared" si="388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89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4"/>
        <v>0</v>
      </c>
      <c r="AJ2537" s="2">
        <f t="shared" si="385"/>
        <v>0</v>
      </c>
      <c r="AK2537" s="2">
        <f t="shared" si="387"/>
        <v>0</v>
      </c>
      <c r="AL2537" s="5">
        <f t="shared" si="388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89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4"/>
        <v>0</v>
      </c>
      <c r="AJ2538" s="2">
        <f t="shared" si="385"/>
        <v>0</v>
      </c>
      <c r="AK2538" s="2">
        <f t="shared" si="387"/>
        <v>18.45</v>
      </c>
      <c r="AL2538" s="5">
        <f t="shared" si="388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89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4"/>
        <v>0</v>
      </c>
      <c r="AG2539" s="2">
        <v>10.6</v>
      </c>
      <c r="AH2539" s="2">
        <v>18</v>
      </c>
      <c r="AJ2539" s="2">
        <f t="shared" si="385"/>
        <v>0</v>
      </c>
      <c r="AK2539" s="2">
        <f t="shared" si="387"/>
        <v>34</v>
      </c>
      <c r="AL2539" s="5">
        <f t="shared" si="388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89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4"/>
        <v>0</v>
      </c>
      <c r="AG2540" s="2">
        <v>9.14</v>
      </c>
      <c r="AH2540" s="2">
        <v>16</v>
      </c>
      <c r="AJ2540" s="2">
        <f t="shared" si="385"/>
        <v>0</v>
      </c>
      <c r="AK2540" s="2">
        <f t="shared" si="387"/>
        <v>11.580000000000002</v>
      </c>
      <c r="AL2540" s="5">
        <f t="shared" si="388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89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4"/>
        <v>0</v>
      </c>
      <c r="AG2541" s="2">
        <v>8.1999999999999993</v>
      </c>
      <c r="AH2541" s="2">
        <v>13</v>
      </c>
      <c r="AJ2541" s="2">
        <f t="shared" si="385"/>
        <v>0</v>
      </c>
      <c r="AK2541" s="2">
        <f t="shared" si="387"/>
        <v>14.399999999999999</v>
      </c>
      <c r="AL2541" s="5">
        <f t="shared" si="388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89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4"/>
        <v>0</v>
      </c>
      <c r="AJ2542" s="2">
        <f t="shared" si="385"/>
        <v>0</v>
      </c>
      <c r="AK2542" s="2">
        <f t="shared" si="387"/>
        <v>370.85</v>
      </c>
      <c r="AL2542" s="5">
        <f t="shared" si="388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89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4"/>
        <v>0</v>
      </c>
      <c r="AJ2543" s="2">
        <f t="shared" si="385"/>
        <v>0</v>
      </c>
      <c r="AK2543" s="2">
        <f t="shared" si="387"/>
        <v>80.400000000000006</v>
      </c>
      <c r="AL2543" s="5">
        <f t="shared" si="388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89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4"/>
        <v>0</v>
      </c>
      <c r="AJ2544" s="2">
        <f t="shared" si="385"/>
        <v>0</v>
      </c>
      <c r="AK2544" s="2">
        <f t="shared" si="387"/>
        <v>50</v>
      </c>
      <c r="AL2544" s="5">
        <f t="shared" si="388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89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4"/>
        <v>0</v>
      </c>
      <c r="AJ2545" s="2">
        <f t="shared" si="385"/>
        <v>0</v>
      </c>
      <c r="AK2545" s="2">
        <f t="shared" si="387"/>
        <v>1165.2</v>
      </c>
      <c r="AL2545" s="5">
        <f t="shared" si="388"/>
        <v>1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89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4"/>
        <v>0</v>
      </c>
      <c r="AJ2546" s="2">
        <f t="shared" si="385"/>
        <v>0</v>
      </c>
      <c r="AK2546" s="2">
        <f t="shared" si="387"/>
        <v>30</v>
      </c>
      <c r="AL2546" s="5">
        <f t="shared" si="388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89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4"/>
        <v>0</v>
      </c>
      <c r="AJ2547" s="2">
        <f t="shared" si="385"/>
        <v>0</v>
      </c>
      <c r="AK2547" s="2">
        <f t="shared" si="387"/>
        <v>50</v>
      </c>
      <c r="AL2547" s="5">
        <f t="shared" si="388"/>
        <v>0.5</v>
      </c>
    </row>
    <row r="2548" spans="1:38" x14ac:dyDescent="0.2">
      <c r="A2548" s="2">
        <v>2025</v>
      </c>
      <c r="B2548" s="2">
        <v>12</v>
      </c>
      <c r="C2548" s="2" t="s">
        <v>3442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89"/>
        <v>1</v>
      </c>
      <c r="Z2548" s="2" t="s">
        <v>119</v>
      </c>
      <c r="AA2548" s="2" t="s">
        <v>3466</v>
      </c>
      <c r="AB2548" s="2" t="s">
        <v>3467</v>
      </c>
      <c r="AC2548" s="2" t="s">
        <v>698</v>
      </c>
      <c r="AF2548" s="2">
        <f t="shared" si="384"/>
        <v>0</v>
      </c>
      <c r="AJ2548" s="2">
        <f t="shared" si="385"/>
        <v>0</v>
      </c>
      <c r="AK2548" s="2">
        <f t="shared" si="387"/>
        <v>166.25</v>
      </c>
      <c r="AL2548" s="5">
        <f t="shared" si="388"/>
        <v>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89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4"/>
        <v>0</v>
      </c>
      <c r="AJ2549" s="2">
        <f t="shared" si="385"/>
        <v>0</v>
      </c>
      <c r="AK2549" s="2">
        <f t="shared" si="387"/>
        <v>27.650000000000006</v>
      </c>
      <c r="AL2549" s="5">
        <f t="shared" si="388"/>
        <v>0.35000000000000009</v>
      </c>
    </row>
    <row r="2550" spans="1:38" x14ac:dyDescent="0.2">
      <c r="A2550" s="2">
        <v>2025</v>
      </c>
      <c r="B2550" s="2">
        <v>12</v>
      </c>
      <c r="C2550" s="2" t="s">
        <v>3325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4"/>
        <v>0</v>
      </c>
      <c r="AJ2550" s="2">
        <f t="shared" si="385"/>
        <v>0</v>
      </c>
      <c r="AK2550" s="2">
        <f t="shared" si="387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3325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0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4"/>
        <v>0</v>
      </c>
      <c r="AJ2551" s="2">
        <f t="shared" si="385"/>
        <v>0</v>
      </c>
      <c r="AK2551" s="2">
        <f t="shared" si="387"/>
        <v>5400.1200000000008</v>
      </c>
      <c r="AL2551" s="5">
        <f t="shared" si="388"/>
        <v>0.36024816544362914</v>
      </c>
    </row>
    <row r="2552" spans="1:38" x14ac:dyDescent="0.2">
      <c r="A2552" s="2">
        <v>2025</v>
      </c>
      <c r="B2552" s="2">
        <v>12</v>
      </c>
      <c r="C2552" s="2" t="s">
        <v>3325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0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4"/>
        <v>0</v>
      </c>
      <c r="AJ2552" s="2">
        <f t="shared" si="385"/>
        <v>0</v>
      </c>
      <c r="AK2552" s="2">
        <f t="shared" si="387"/>
        <v>1447.2773</v>
      </c>
      <c r="AL2552" s="5">
        <f t="shared" si="388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0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4"/>
        <v>0</v>
      </c>
      <c r="AG2553" s="2">
        <v>0.85609999999999997</v>
      </c>
      <c r="AH2553" s="2">
        <v>1.8</v>
      </c>
      <c r="AJ2553" s="2">
        <f t="shared" si="385"/>
        <v>0</v>
      </c>
      <c r="AK2553" s="2">
        <f t="shared" si="387"/>
        <v>18.878</v>
      </c>
      <c r="AL2553" s="5">
        <f t="shared" si="388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0"/>
        <v>0.25</v>
      </c>
      <c r="Z2554" s="2" t="s">
        <v>169</v>
      </c>
      <c r="AA2554" s="2" t="s">
        <v>169</v>
      </c>
      <c r="AF2554" s="2">
        <f t="shared" si="384"/>
        <v>0</v>
      </c>
      <c r="AJ2554" s="2">
        <f t="shared" si="385"/>
        <v>0</v>
      </c>
      <c r="AK2554" s="2">
        <f t="shared" si="387"/>
        <v>2</v>
      </c>
      <c r="AL2554" s="5">
        <f t="shared" si="388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0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4"/>
        <v>0</v>
      </c>
      <c r="AG2555" s="2">
        <v>7.2733999999999996</v>
      </c>
      <c r="AJ2555" s="2">
        <f t="shared" si="385"/>
        <v>0</v>
      </c>
      <c r="AK2555" s="2">
        <f t="shared" si="387"/>
        <v>8.6066000000000003</v>
      </c>
      <c r="AL2555" s="5">
        <f t="shared" si="388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0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4"/>
        <v>0</v>
      </c>
      <c r="AG2556" s="2">
        <v>10.6</v>
      </c>
      <c r="AH2556" s="2">
        <v>18</v>
      </c>
      <c r="AJ2556" s="2">
        <f t="shared" si="385"/>
        <v>0</v>
      </c>
      <c r="AK2556" s="2">
        <f t="shared" si="387"/>
        <v>14.8</v>
      </c>
      <c r="AL2556" s="5">
        <f t="shared" si="388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0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4"/>
        <v>0</v>
      </c>
      <c r="AG2557" s="2">
        <v>25.79</v>
      </c>
      <c r="AJ2557" s="2">
        <f t="shared" si="385"/>
        <v>0</v>
      </c>
      <c r="AK2557" s="2">
        <f t="shared" si="387"/>
        <v>34.904200000000003</v>
      </c>
      <c r="AL2557" s="5">
        <f t="shared" si="388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0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4"/>
        <v>0</v>
      </c>
      <c r="AG2558" s="2">
        <v>9.14</v>
      </c>
      <c r="AH2558" s="2">
        <v>16</v>
      </c>
      <c r="AJ2558" s="2">
        <f t="shared" si="385"/>
        <v>0</v>
      </c>
      <c r="AK2558" s="2">
        <f t="shared" si="387"/>
        <v>4.8600000000000012</v>
      </c>
      <c r="AL2558" s="5">
        <f t="shared" si="388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0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4"/>
        <v>0</v>
      </c>
      <c r="AG2559" s="2">
        <v>8.1999999999999993</v>
      </c>
      <c r="AH2559" s="2">
        <v>13</v>
      </c>
      <c r="AJ2559" s="2">
        <f t="shared" si="385"/>
        <v>0</v>
      </c>
      <c r="AK2559" s="2">
        <f t="shared" si="387"/>
        <v>9.5999999999999979</v>
      </c>
      <c r="AL2559" s="5">
        <f t="shared" si="388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0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4"/>
        <v>0</v>
      </c>
      <c r="AJ2560" s="2">
        <f t="shared" si="385"/>
        <v>0</v>
      </c>
      <c r="AK2560" s="2">
        <f t="shared" si="387"/>
        <v>4.8600000000000012</v>
      </c>
      <c r="AL2560" s="5">
        <f t="shared" si="388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0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4"/>
        <v>0</v>
      </c>
      <c r="AG2561" s="2">
        <v>1.8320000000000001</v>
      </c>
      <c r="AH2561" s="2">
        <v>2.4</v>
      </c>
      <c r="AJ2561" s="2">
        <f t="shared" si="385"/>
        <v>0</v>
      </c>
      <c r="AK2561" s="2">
        <f t="shared" si="387"/>
        <v>3.871999999999999</v>
      </c>
      <c r="AL2561" s="5">
        <f t="shared" si="388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0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1">AJ2562</f>
        <v>0</v>
      </c>
      <c r="AJ2562" s="2">
        <f t="shared" ref="AJ2562:AJ2625" si="392">AI2562*T2562</f>
        <v>0</v>
      </c>
      <c r="AK2562" s="2">
        <f t="shared" si="387"/>
        <v>254.19659999999999</v>
      </c>
      <c r="AL2562" s="5">
        <f t="shared" si="388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0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1"/>
        <v>0</v>
      </c>
      <c r="AJ2563" s="2">
        <f t="shared" si="392"/>
        <v>0</v>
      </c>
      <c r="AK2563" s="2">
        <f t="shared" si="387"/>
        <v>156.6</v>
      </c>
      <c r="AL2563" s="5">
        <f t="shared" si="388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0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1"/>
        <v>0</v>
      </c>
      <c r="AJ2564" s="2">
        <f t="shared" si="392"/>
        <v>0</v>
      </c>
      <c r="AK2564" s="2">
        <f t="shared" si="387"/>
        <v>75</v>
      </c>
      <c r="AL2564" s="5">
        <f t="shared" si="388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0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1"/>
        <v>0</v>
      </c>
      <c r="AJ2565" s="2">
        <f t="shared" si="392"/>
        <v>0</v>
      </c>
      <c r="AK2565" s="2">
        <f t="shared" si="387"/>
        <v>106.66</v>
      </c>
      <c r="AL2565" s="5">
        <f t="shared" si="388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0"/>
        <v>0.25</v>
      </c>
      <c r="Z2566" s="2" t="s">
        <v>169</v>
      </c>
      <c r="AA2566" s="2" t="s">
        <v>169</v>
      </c>
      <c r="AF2566" s="2">
        <f t="shared" si="391"/>
        <v>0</v>
      </c>
      <c r="AJ2566" s="2">
        <f t="shared" si="392"/>
        <v>0</v>
      </c>
      <c r="AK2566" s="2">
        <f t="shared" si="387"/>
        <v>10</v>
      </c>
      <c r="AL2566" s="5">
        <f t="shared" si="388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0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1"/>
        <v>0</v>
      </c>
      <c r="AJ2567" s="2">
        <f t="shared" si="392"/>
        <v>0</v>
      </c>
      <c r="AK2567" s="2">
        <f t="shared" si="387"/>
        <v>0</v>
      </c>
      <c r="AL2567" s="5">
        <f t="shared" si="38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0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1"/>
        <v>0</v>
      </c>
      <c r="AG2568" s="2">
        <v>10.6</v>
      </c>
      <c r="AH2568" s="2">
        <v>18</v>
      </c>
      <c r="AJ2568" s="2">
        <f t="shared" si="392"/>
        <v>0</v>
      </c>
      <c r="AK2568" s="2">
        <f t="shared" si="387"/>
        <v>34</v>
      </c>
      <c r="AL2568" s="5">
        <f t="shared" si="38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0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1"/>
        <v>0</v>
      </c>
      <c r="AG2569" s="2">
        <v>9.14</v>
      </c>
      <c r="AH2569" s="2">
        <v>16</v>
      </c>
      <c r="AJ2569" s="2">
        <f t="shared" si="392"/>
        <v>0</v>
      </c>
      <c r="AK2569" s="2">
        <f t="shared" si="387"/>
        <v>19.300000000000004</v>
      </c>
      <c r="AL2569" s="5">
        <f t="shared" si="38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0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1"/>
        <v>0</v>
      </c>
      <c r="AG2570" s="2">
        <v>8.1999999999999993</v>
      </c>
      <c r="AH2570" s="2">
        <v>13</v>
      </c>
      <c r="AJ2570" s="2">
        <f t="shared" si="392"/>
        <v>0</v>
      </c>
      <c r="AK2570" s="2">
        <f t="shared" si="387"/>
        <v>46</v>
      </c>
      <c r="AL2570" s="5">
        <f t="shared" si="38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0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1"/>
        <v>0</v>
      </c>
      <c r="AG2571" s="2">
        <v>7.9611999999999998</v>
      </c>
      <c r="AH2571" s="2">
        <v>14.4</v>
      </c>
      <c r="AJ2571" s="2">
        <f t="shared" si="392"/>
        <v>0</v>
      </c>
      <c r="AK2571" s="2">
        <f t="shared" si="387"/>
        <v>14.0388</v>
      </c>
      <c r="AL2571" s="5">
        <f t="shared" si="38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0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1"/>
        <v>0</v>
      </c>
      <c r="AG2572" s="2">
        <v>15.020300000000001</v>
      </c>
      <c r="AH2572" s="2">
        <v>27.6</v>
      </c>
      <c r="AJ2572" s="2">
        <f t="shared" si="392"/>
        <v>0</v>
      </c>
      <c r="AK2572" s="2">
        <f t="shared" si="387"/>
        <v>6.9796999999999993</v>
      </c>
      <c r="AL2572" s="5">
        <f t="shared" si="38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0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1"/>
        <v>0</v>
      </c>
      <c r="AG2573" s="2">
        <v>101.30500000000001</v>
      </c>
      <c r="AH2573" s="2">
        <v>190</v>
      </c>
      <c r="AJ2573" s="2">
        <f t="shared" si="392"/>
        <v>0</v>
      </c>
      <c r="AK2573" s="2">
        <f t="shared" si="387"/>
        <v>99.13000000000001</v>
      </c>
      <c r="AL2573" s="5">
        <f t="shared" si="38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0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1"/>
        <v>0</v>
      </c>
      <c r="AJ2574" s="2">
        <f t="shared" si="392"/>
        <v>0</v>
      </c>
      <c r="AK2574" s="2">
        <f t="shared" si="387"/>
        <v>82.580000000000013</v>
      </c>
      <c r="AL2574" s="5">
        <f t="shared" si="38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0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1"/>
        <v>0</v>
      </c>
      <c r="AJ2575" s="2">
        <f t="shared" si="392"/>
        <v>0</v>
      </c>
      <c r="AK2575" s="2">
        <f t="shared" si="387"/>
        <v>0</v>
      </c>
      <c r="AL2575" s="5">
        <f t="shared" si="388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0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1"/>
        <v>0</v>
      </c>
      <c r="AG2576" s="2">
        <v>7.915</v>
      </c>
      <c r="AJ2576" s="2">
        <f t="shared" si="392"/>
        <v>0</v>
      </c>
      <c r="AK2576" s="2">
        <f t="shared" si="387"/>
        <v>5.8850000000000007</v>
      </c>
      <c r="AL2576" s="5">
        <f t="shared" si="388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0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1"/>
        <v>0</v>
      </c>
      <c r="AG2577" s="2">
        <v>10.035</v>
      </c>
      <c r="AJ2577" s="2">
        <f t="shared" si="392"/>
        <v>0</v>
      </c>
      <c r="AK2577" s="2">
        <f t="shared" si="387"/>
        <v>7.3649999999999984</v>
      </c>
      <c r="AL2577" s="5">
        <f t="shared" si="388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0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1"/>
        <v>0</v>
      </c>
      <c r="AG2578" s="2">
        <v>12.4434</v>
      </c>
      <c r="AJ2578" s="2">
        <f t="shared" si="392"/>
        <v>0</v>
      </c>
      <c r="AK2578" s="2">
        <f t="shared" si="387"/>
        <v>8.5565999999999995</v>
      </c>
      <c r="AL2578" s="5">
        <f t="shared" si="388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0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1"/>
        <v>0</v>
      </c>
      <c r="AG2579" s="2">
        <v>11.087999999999999</v>
      </c>
      <c r="AJ2579" s="2">
        <f t="shared" si="392"/>
        <v>0</v>
      </c>
      <c r="AK2579" s="2">
        <f t="shared" si="387"/>
        <v>8.7550000000000008</v>
      </c>
      <c r="AL2579" s="5">
        <f t="shared" si="388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90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1"/>
        <v>0</v>
      </c>
      <c r="AJ2580" s="2">
        <f t="shared" si="392"/>
        <v>0</v>
      </c>
      <c r="AK2580" s="2">
        <f t="shared" ref="AK2580:AK2643" si="393">T2580-W2580</f>
        <v>875</v>
      </c>
      <c r="AL2580" s="5">
        <f t="shared" si="388"/>
        <v>0.25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0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1"/>
        <v>0</v>
      </c>
      <c r="AG2581" s="2">
        <v>8.1999999999999993</v>
      </c>
      <c r="AH2581" s="2">
        <v>13</v>
      </c>
      <c r="AJ2581" s="2">
        <f t="shared" si="392"/>
        <v>0</v>
      </c>
      <c r="AK2581" s="2">
        <f t="shared" si="393"/>
        <v>23</v>
      </c>
      <c r="AL2581" s="5">
        <f t="shared" si="388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0"/>
        <v>0.25</v>
      </c>
      <c r="Z2582" s="2" t="s">
        <v>169</v>
      </c>
      <c r="AA2582" s="2" t="s">
        <v>169</v>
      </c>
      <c r="AF2582" s="2">
        <f t="shared" si="391"/>
        <v>0</v>
      </c>
      <c r="AJ2582" s="2">
        <f t="shared" si="392"/>
        <v>0</v>
      </c>
      <c r="AK2582" s="2">
        <f t="shared" si="393"/>
        <v>2</v>
      </c>
      <c r="AL2582" s="5">
        <f t="shared" si="388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4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1"/>
        <v>0</v>
      </c>
      <c r="AJ2583" s="2">
        <f t="shared" si="392"/>
        <v>0</v>
      </c>
      <c r="AK2583" s="2">
        <f t="shared" si="393"/>
        <v>22.5</v>
      </c>
      <c r="AL2583" s="5">
        <f t="shared" si="388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4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1"/>
        <v>0</v>
      </c>
      <c r="AJ2584" s="2">
        <f t="shared" si="392"/>
        <v>0</v>
      </c>
      <c r="AK2584" s="2">
        <f t="shared" si="393"/>
        <v>45</v>
      </c>
      <c r="AL2584" s="5">
        <f t="shared" si="388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4"/>
        <v>0.3</v>
      </c>
      <c r="Z2585" s="2" t="s">
        <v>119</v>
      </c>
      <c r="AA2585" s="2" t="s">
        <v>3379</v>
      </c>
      <c r="AF2585" s="2">
        <f t="shared" si="391"/>
        <v>0</v>
      </c>
      <c r="AJ2585" s="2">
        <f t="shared" si="392"/>
        <v>0</v>
      </c>
      <c r="AK2585" s="2">
        <f t="shared" si="393"/>
        <v>76.5</v>
      </c>
      <c r="AL2585" s="5">
        <f t="shared" si="388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4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1"/>
        <v>0</v>
      </c>
      <c r="AG2586" s="2">
        <f>144.14+15.4</f>
        <v>159.54</v>
      </c>
      <c r="AH2586" s="2">
        <v>280</v>
      </c>
      <c r="AJ2586" s="2">
        <f t="shared" si="392"/>
        <v>0</v>
      </c>
      <c r="AK2586" s="2">
        <f t="shared" si="393"/>
        <v>110.46000000000001</v>
      </c>
      <c r="AL2586" s="5">
        <f t="shared" si="388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4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1"/>
        <v>0</v>
      </c>
      <c r="AJ2587" s="2">
        <f t="shared" si="392"/>
        <v>0</v>
      </c>
      <c r="AK2587" s="2">
        <f t="shared" si="393"/>
        <v>0</v>
      </c>
      <c r="AL2587" s="5">
        <f t="shared" si="388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4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1"/>
        <v>0</v>
      </c>
      <c r="AJ2588" s="2">
        <f t="shared" si="392"/>
        <v>0</v>
      </c>
      <c r="AK2588" s="2">
        <f t="shared" si="393"/>
        <v>17.91</v>
      </c>
      <c r="AL2588" s="5">
        <f t="shared" si="388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4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1"/>
        <v>0</v>
      </c>
      <c r="AJ2589" s="2">
        <f t="shared" si="392"/>
        <v>0</v>
      </c>
      <c r="AK2589" s="2">
        <f t="shared" si="393"/>
        <v>36</v>
      </c>
      <c r="AL2589" s="5">
        <f t="shared" ref="AL2589:AL2652" si="395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4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1"/>
        <v>0</v>
      </c>
      <c r="AJ2590" s="2">
        <f t="shared" si="392"/>
        <v>0</v>
      </c>
      <c r="AK2590" s="2">
        <f t="shared" si="393"/>
        <v>25</v>
      </c>
      <c r="AL2590" s="5">
        <f t="shared" si="395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94"/>
        <v>1</v>
      </c>
      <c r="Z2591" s="2" t="s">
        <v>119</v>
      </c>
      <c r="AA2591" s="2" t="s">
        <v>3379</v>
      </c>
      <c r="AF2591" s="2">
        <f t="shared" si="391"/>
        <v>0</v>
      </c>
      <c r="AJ2591" s="2">
        <f t="shared" si="392"/>
        <v>0</v>
      </c>
      <c r="AK2591" s="2">
        <f t="shared" si="393"/>
        <v>99.75</v>
      </c>
      <c r="AL2591" s="5">
        <f t="shared" si="395"/>
        <v>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4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1"/>
        <v>0</v>
      </c>
      <c r="AJ2592" s="2">
        <f t="shared" si="392"/>
        <v>0</v>
      </c>
      <c r="AK2592" s="2">
        <f t="shared" si="393"/>
        <v>36</v>
      </c>
      <c r="AL2592" s="5">
        <f t="shared" si="395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4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1"/>
        <v>0</v>
      </c>
      <c r="AJ2593" s="2">
        <f t="shared" si="392"/>
        <v>0</v>
      </c>
      <c r="AK2593" s="2">
        <f t="shared" si="393"/>
        <v>37.5</v>
      </c>
      <c r="AL2593" s="5">
        <f t="shared" si="395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4"/>
        <v>0.30000000000000004</v>
      </c>
      <c r="Z2594" s="2" t="s">
        <v>119</v>
      </c>
      <c r="AA2594" s="2" t="s">
        <v>3379</v>
      </c>
      <c r="AF2594" s="2">
        <f t="shared" si="391"/>
        <v>0</v>
      </c>
      <c r="AJ2594" s="2">
        <f t="shared" si="392"/>
        <v>0</v>
      </c>
      <c r="AK2594" s="2">
        <f t="shared" si="393"/>
        <v>20.091000000000001</v>
      </c>
      <c r="AL2594" s="5">
        <f t="shared" si="395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4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1"/>
        <v>0</v>
      </c>
      <c r="AG2595" s="2">
        <v>110.68</v>
      </c>
      <c r="AH2595" s="2">
        <v>210</v>
      </c>
      <c r="AJ2595" s="2">
        <f t="shared" si="392"/>
        <v>0</v>
      </c>
      <c r="AK2595" s="2">
        <f t="shared" si="393"/>
        <v>99.32</v>
      </c>
      <c r="AL2595" s="5">
        <f t="shared" si="395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4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1"/>
        <v>0</v>
      </c>
      <c r="AJ2596" s="2">
        <f t="shared" si="392"/>
        <v>0</v>
      </c>
      <c r="AK2596" s="2">
        <f t="shared" si="393"/>
        <v>0</v>
      </c>
      <c r="AL2596" s="5">
        <f t="shared" si="395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4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1"/>
        <v>0</v>
      </c>
      <c r="AG2597" s="2">
        <v>78.570099999999996</v>
      </c>
      <c r="AJ2597" s="2">
        <f t="shared" si="392"/>
        <v>0</v>
      </c>
      <c r="AK2597" s="2">
        <f t="shared" si="393"/>
        <v>52.5899</v>
      </c>
      <c r="AL2597" s="5">
        <f t="shared" si="395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4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1"/>
        <v>0</v>
      </c>
      <c r="AG2598" s="2">
        <v>0.85609999999999997</v>
      </c>
      <c r="AH2598" s="2">
        <v>1.8</v>
      </c>
      <c r="AJ2598" s="2">
        <f t="shared" si="392"/>
        <v>0</v>
      </c>
      <c r="AK2598" s="2">
        <f t="shared" si="393"/>
        <v>18.878</v>
      </c>
      <c r="AL2598" s="5">
        <f t="shared" si="395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4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1"/>
        <v>0</v>
      </c>
      <c r="AG2599" s="2">
        <v>1.1122000000000001</v>
      </c>
      <c r="AH2599" s="2">
        <v>3</v>
      </c>
      <c r="AJ2599" s="2">
        <f t="shared" si="392"/>
        <v>0</v>
      </c>
      <c r="AK2599" s="2">
        <f t="shared" si="393"/>
        <v>18.878</v>
      </c>
      <c r="AL2599" s="5">
        <f t="shared" si="395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4"/>
        <v>0.25</v>
      </c>
      <c r="Z2600" s="2" t="s">
        <v>169</v>
      </c>
      <c r="AA2600" s="2" t="s">
        <v>169</v>
      </c>
      <c r="AF2600" s="2">
        <f t="shared" si="391"/>
        <v>0</v>
      </c>
      <c r="AJ2600" s="2">
        <f t="shared" si="392"/>
        <v>0</v>
      </c>
      <c r="AK2600" s="2">
        <f t="shared" si="393"/>
        <v>2</v>
      </c>
      <c r="AL2600" s="5">
        <f t="shared" si="395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4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1"/>
        <v>0</v>
      </c>
      <c r="AJ2601" s="2">
        <f t="shared" si="392"/>
        <v>0</v>
      </c>
      <c r="AK2601" s="2">
        <f t="shared" si="393"/>
        <v>100.57</v>
      </c>
      <c r="AL2601" s="5">
        <f t="shared" si="395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4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1"/>
        <v>0</v>
      </c>
      <c r="AJ2602" s="2">
        <f t="shared" si="392"/>
        <v>0</v>
      </c>
      <c r="AK2602" s="2">
        <f t="shared" si="393"/>
        <v>0</v>
      </c>
      <c r="AL2602" s="5">
        <f t="shared" si="395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94"/>
        <v>1</v>
      </c>
      <c r="Z2603" s="2" t="s">
        <v>119</v>
      </c>
      <c r="AA2603" s="2" t="s">
        <v>3379</v>
      </c>
      <c r="AF2603" s="2">
        <f t="shared" si="391"/>
        <v>0</v>
      </c>
      <c r="AJ2603" s="2">
        <f t="shared" si="392"/>
        <v>0</v>
      </c>
      <c r="AK2603" s="2">
        <f t="shared" si="393"/>
        <v>99.75</v>
      </c>
      <c r="AL2603" s="5">
        <f t="shared" si="395"/>
        <v>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4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1"/>
        <v>0</v>
      </c>
      <c r="AG2604" s="2">
        <v>6.6266999999999996</v>
      </c>
      <c r="AH2604" s="2">
        <v>12</v>
      </c>
      <c r="AJ2604" s="2">
        <f t="shared" si="392"/>
        <v>0</v>
      </c>
      <c r="AK2604" s="2">
        <f t="shared" si="393"/>
        <v>12.746600000000001</v>
      </c>
      <c r="AL2604" s="5">
        <f t="shared" si="395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4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1"/>
        <v>0</v>
      </c>
      <c r="AG2605" s="2">
        <v>10.6</v>
      </c>
      <c r="AH2605" s="2">
        <v>18</v>
      </c>
      <c r="AJ2605" s="2">
        <f t="shared" si="392"/>
        <v>0</v>
      </c>
      <c r="AK2605" s="2">
        <f t="shared" si="393"/>
        <v>14.8</v>
      </c>
      <c r="AL2605" s="5">
        <f t="shared" si="395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4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1"/>
        <v>0</v>
      </c>
      <c r="AJ2606" s="2">
        <f t="shared" si="392"/>
        <v>0</v>
      </c>
      <c r="AK2606" s="2">
        <f t="shared" si="393"/>
        <v>58.988399999999999</v>
      </c>
      <c r="AL2606" s="5">
        <f t="shared" si="395"/>
        <v>0.44878575776019475</v>
      </c>
    </row>
    <row r="2607" spans="1:38" x14ac:dyDescent="0.2">
      <c r="A2607" s="2">
        <v>2025</v>
      </c>
      <c r="B2607" s="2">
        <v>9</v>
      </c>
      <c r="C2607" s="2" t="s">
        <v>3486</v>
      </c>
      <c r="D2607" s="2" t="s">
        <v>3485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4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1"/>
        <v>0</v>
      </c>
      <c r="AJ2607" s="2">
        <f t="shared" si="392"/>
        <v>0</v>
      </c>
      <c r="AK2607" s="2">
        <f t="shared" si="393"/>
        <v>1615.7700000000004</v>
      </c>
      <c r="AL2607" s="5">
        <f t="shared" si="395"/>
        <v>0.24188173652694617</v>
      </c>
    </row>
    <row r="2608" spans="1:38" x14ac:dyDescent="0.2">
      <c r="A2608" s="2">
        <v>2025</v>
      </c>
      <c r="B2608" s="2">
        <v>9</v>
      </c>
      <c r="C2608" s="2" t="s">
        <v>3486</v>
      </c>
      <c r="D2608" s="2" t="s">
        <v>3485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1"/>
        <v>0</v>
      </c>
      <c r="AJ2608" s="2">
        <f t="shared" si="392"/>
        <v>0</v>
      </c>
      <c r="AK2608" s="2">
        <f t="shared" si="393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94"/>
        <v>1</v>
      </c>
      <c r="Z2609" s="2" t="s">
        <v>119</v>
      </c>
      <c r="AA2609" s="2" t="s">
        <v>3379</v>
      </c>
      <c r="AF2609" s="2">
        <f t="shared" si="391"/>
        <v>0</v>
      </c>
      <c r="AJ2609" s="2">
        <f t="shared" si="392"/>
        <v>0</v>
      </c>
      <c r="AK2609" s="2">
        <f t="shared" si="393"/>
        <v>1520</v>
      </c>
      <c r="AL2609" s="5">
        <f t="shared" si="395"/>
        <v>1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4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1"/>
        <v>0</v>
      </c>
      <c r="AJ2610" s="2">
        <f t="shared" si="392"/>
        <v>0</v>
      </c>
      <c r="AK2610" s="2">
        <f t="shared" si="393"/>
        <v>21.106599999999997</v>
      </c>
      <c r="AL2610" s="5">
        <f t="shared" si="395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4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1"/>
        <v>0</v>
      </c>
      <c r="AJ2611" s="2">
        <f t="shared" si="392"/>
        <v>0</v>
      </c>
      <c r="AK2611" s="2">
        <f t="shared" si="393"/>
        <v>18.917999999999999</v>
      </c>
      <c r="AL2611" s="5">
        <f t="shared" si="395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4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1"/>
        <v>0</v>
      </c>
      <c r="AJ2612" s="2">
        <f t="shared" si="392"/>
        <v>0</v>
      </c>
      <c r="AK2612" s="2">
        <f t="shared" si="393"/>
        <v>250.9734</v>
      </c>
      <c r="AL2612" s="5">
        <f t="shared" si="395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4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1"/>
        <v>0</v>
      </c>
      <c r="AG2613" s="2">
        <v>5.2972999999999999</v>
      </c>
      <c r="AH2613" s="2">
        <v>10.8</v>
      </c>
      <c r="AJ2613" s="2">
        <f t="shared" si="392"/>
        <v>0</v>
      </c>
      <c r="AK2613" s="2">
        <f t="shared" si="393"/>
        <v>8.6053999999999995</v>
      </c>
      <c r="AL2613" s="5">
        <f t="shared" si="395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4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1"/>
        <v>0</v>
      </c>
      <c r="AJ2614" s="2">
        <f t="shared" si="392"/>
        <v>0</v>
      </c>
      <c r="AK2614" s="2">
        <f t="shared" si="393"/>
        <v>47.4</v>
      </c>
      <c r="AL2614" s="5">
        <f t="shared" si="395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6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1"/>
        <v>0</v>
      </c>
      <c r="AJ2615" s="2">
        <f t="shared" si="392"/>
        <v>0</v>
      </c>
      <c r="AK2615" s="2">
        <f t="shared" si="393"/>
        <v>25</v>
      </c>
      <c r="AL2615" s="5">
        <f t="shared" si="395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6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1"/>
        <v>0</v>
      </c>
      <c r="AJ2616" s="2">
        <f t="shared" si="392"/>
        <v>0</v>
      </c>
      <c r="AK2616" s="2">
        <f t="shared" si="393"/>
        <v>98.02</v>
      </c>
      <c r="AL2616" s="5">
        <f t="shared" si="395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6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1"/>
        <v>0</v>
      </c>
      <c r="AJ2617" s="2">
        <f t="shared" si="392"/>
        <v>0</v>
      </c>
      <c r="AK2617" s="2">
        <f t="shared" si="393"/>
        <v>0</v>
      </c>
      <c r="AL2617" s="5">
        <f t="shared" si="395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6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1"/>
        <v>0</v>
      </c>
      <c r="AJ2618" s="2">
        <f t="shared" si="392"/>
        <v>0</v>
      </c>
      <c r="AK2618" s="2">
        <f t="shared" si="393"/>
        <v>85.024799999999999</v>
      </c>
      <c r="AL2618" s="5">
        <f t="shared" si="395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6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1"/>
        <v>0</v>
      </c>
      <c r="AJ2619" s="2">
        <f t="shared" si="392"/>
        <v>0</v>
      </c>
      <c r="AK2619" s="2">
        <f t="shared" si="393"/>
        <v>90.592199999999991</v>
      </c>
      <c r="AL2619" s="5">
        <f t="shared" si="395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6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1"/>
        <v>0</v>
      </c>
      <c r="AG2620" s="2">
        <v>117.453</v>
      </c>
      <c r="AH2620" s="2">
        <v>220</v>
      </c>
      <c r="AJ2620" s="2">
        <f t="shared" si="392"/>
        <v>0</v>
      </c>
      <c r="AK2620" s="2">
        <f t="shared" si="393"/>
        <v>205.09399999999999</v>
      </c>
      <c r="AL2620" s="5">
        <f t="shared" si="395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6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1"/>
        <v>0</v>
      </c>
      <c r="AJ2621" s="2">
        <f t="shared" si="392"/>
        <v>0</v>
      </c>
      <c r="AK2621" s="2">
        <f t="shared" si="393"/>
        <v>0</v>
      </c>
      <c r="AL2621" s="5">
        <f t="shared" si="395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6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1"/>
        <v>0</v>
      </c>
      <c r="AJ2622" s="2">
        <f t="shared" si="392"/>
        <v>0</v>
      </c>
      <c r="AK2622" s="2">
        <f t="shared" si="393"/>
        <v>105.35000000000002</v>
      </c>
      <c r="AL2622" s="5">
        <f t="shared" si="395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6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1"/>
        <v>0</v>
      </c>
      <c r="AJ2623" s="2">
        <f t="shared" si="392"/>
        <v>0</v>
      </c>
      <c r="AK2623" s="2">
        <f t="shared" si="393"/>
        <v>378.79770000000002</v>
      </c>
      <c r="AL2623" s="5">
        <f t="shared" si="395"/>
        <v>0.5220619366575705</v>
      </c>
    </row>
    <row r="2624" spans="1:38" x14ac:dyDescent="0.2">
      <c r="A2624" s="2">
        <v>2025</v>
      </c>
      <c r="B2624" s="2">
        <v>9</v>
      </c>
      <c r="C2624" s="2" t="s">
        <v>3410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6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1"/>
        <v>0</v>
      </c>
      <c r="AJ2624" s="2">
        <f t="shared" si="392"/>
        <v>0</v>
      </c>
      <c r="AK2624" s="2">
        <f t="shared" si="393"/>
        <v>375.03</v>
      </c>
      <c r="AL2624" s="5">
        <f t="shared" si="395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6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1"/>
        <v>0</v>
      </c>
      <c r="AJ2625" s="2">
        <f t="shared" si="392"/>
        <v>0</v>
      </c>
      <c r="AK2625" s="2">
        <f t="shared" si="393"/>
        <v>10.593299999999999</v>
      </c>
      <c r="AL2625" s="5">
        <f t="shared" si="395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6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7">AJ2626</f>
        <v>0</v>
      </c>
      <c r="AG2626" s="2">
        <v>9.14</v>
      </c>
      <c r="AH2626" s="2">
        <v>16</v>
      </c>
      <c r="AJ2626" s="2">
        <f t="shared" ref="AJ2626:AJ2689" si="398">AI2626*T2626</f>
        <v>0</v>
      </c>
      <c r="AK2626" s="2">
        <f t="shared" si="393"/>
        <v>19.300000000000004</v>
      </c>
      <c r="AL2626" s="5">
        <f t="shared" si="395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6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7"/>
        <v>0</v>
      </c>
      <c r="AG2627" s="2">
        <v>15.020300000000001</v>
      </c>
      <c r="AH2627" s="2">
        <v>27.6</v>
      </c>
      <c r="AJ2627" s="2">
        <f t="shared" si="398"/>
        <v>0</v>
      </c>
      <c r="AK2627" s="2">
        <f t="shared" si="393"/>
        <v>27.918799999999997</v>
      </c>
      <c r="AL2627" s="5">
        <f t="shared" si="395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6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7"/>
        <v>0</v>
      </c>
      <c r="AG2628" s="2">
        <v>8.3145000000000007</v>
      </c>
      <c r="AH2628" s="2">
        <v>15</v>
      </c>
      <c r="AJ2628" s="2">
        <f t="shared" si="398"/>
        <v>0</v>
      </c>
      <c r="AK2628" s="2">
        <f t="shared" si="393"/>
        <v>9.3709999999999987</v>
      </c>
      <c r="AL2628" s="5">
        <f t="shared" si="395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6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7"/>
        <v>0</v>
      </c>
      <c r="AJ2629" s="2">
        <f t="shared" si="398"/>
        <v>0</v>
      </c>
      <c r="AK2629" s="2">
        <f t="shared" si="393"/>
        <v>29</v>
      </c>
      <c r="AL2629" s="5">
        <f t="shared" si="395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6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7"/>
        <v>0</v>
      </c>
      <c r="AG2630" s="2">
        <v>9.14</v>
      </c>
      <c r="AH2630" s="2">
        <v>16</v>
      </c>
      <c r="AJ2630" s="2">
        <f t="shared" si="398"/>
        <v>0</v>
      </c>
      <c r="AK2630" s="2">
        <f t="shared" si="393"/>
        <v>4.8600000000000012</v>
      </c>
      <c r="AL2630" s="5">
        <f t="shared" si="395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6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7"/>
        <v>0</v>
      </c>
      <c r="AG2631" s="2">
        <v>8.1999999999999993</v>
      </c>
      <c r="AH2631" s="2">
        <v>13</v>
      </c>
      <c r="AJ2631" s="2">
        <f t="shared" si="398"/>
        <v>0</v>
      </c>
      <c r="AK2631" s="2">
        <f t="shared" si="393"/>
        <v>4.7999999999999989</v>
      </c>
      <c r="AL2631" s="5">
        <f t="shared" si="395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6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7"/>
        <v>0</v>
      </c>
      <c r="AJ2632" s="2">
        <f t="shared" si="398"/>
        <v>0</v>
      </c>
      <c r="AK2632" s="2">
        <f t="shared" si="393"/>
        <v>5.8600000000000012</v>
      </c>
      <c r="AL2632" s="5">
        <f t="shared" si="395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6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7"/>
        <v>0</v>
      </c>
      <c r="AJ2633" s="2">
        <f t="shared" si="398"/>
        <v>0</v>
      </c>
      <c r="AK2633" s="2">
        <f t="shared" si="393"/>
        <v>100.53999999999999</v>
      </c>
      <c r="AL2633" s="5">
        <f t="shared" si="395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6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7"/>
        <v>0</v>
      </c>
      <c r="AG2634" s="2">
        <v>1.1399999999999999</v>
      </c>
      <c r="AH2634" s="2">
        <v>1.1399999999999999</v>
      </c>
      <c r="AJ2634" s="2">
        <f t="shared" si="398"/>
        <v>0</v>
      </c>
      <c r="AK2634" s="2">
        <f t="shared" si="393"/>
        <v>0</v>
      </c>
      <c r="AL2634" s="5">
        <f t="shared" si="395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6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7"/>
        <v>0</v>
      </c>
      <c r="AG2635" s="2">
        <v>5.35</v>
      </c>
      <c r="AJ2635" s="2">
        <f t="shared" si="398"/>
        <v>0</v>
      </c>
      <c r="AK2635" s="2">
        <f t="shared" si="393"/>
        <v>5.9</v>
      </c>
      <c r="AL2635" s="5">
        <f t="shared" si="395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6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7"/>
        <v>0</v>
      </c>
      <c r="AJ2636" s="2">
        <f t="shared" si="398"/>
        <v>0</v>
      </c>
      <c r="AK2636" s="2">
        <f t="shared" si="393"/>
        <v>60.142499999999998</v>
      </c>
      <c r="AL2636" s="5">
        <f t="shared" si="395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6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7"/>
        <v>0</v>
      </c>
      <c r="AJ2637" s="2">
        <f t="shared" si="398"/>
        <v>0</v>
      </c>
      <c r="AK2637" s="2">
        <f t="shared" si="393"/>
        <v>4.3366000000000007</v>
      </c>
      <c r="AL2637" s="5">
        <f t="shared" si="395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6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7"/>
        <v>0</v>
      </c>
      <c r="AJ2638" s="2">
        <f t="shared" si="398"/>
        <v>0</v>
      </c>
      <c r="AK2638" s="2">
        <f t="shared" si="393"/>
        <v>30</v>
      </c>
      <c r="AL2638" s="5">
        <f t="shared" si="395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6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7"/>
        <v>0</v>
      </c>
      <c r="AJ2639" s="2">
        <f t="shared" si="398"/>
        <v>0</v>
      </c>
      <c r="AK2639" s="2">
        <f t="shared" si="393"/>
        <v>50</v>
      </c>
      <c r="AL2639" s="5">
        <f t="shared" si="395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96"/>
        <v>1</v>
      </c>
      <c r="Z2640" s="2" t="s">
        <v>119</v>
      </c>
      <c r="AA2640" s="2" t="s">
        <v>3379</v>
      </c>
      <c r="AF2640" s="2">
        <f t="shared" si="397"/>
        <v>0</v>
      </c>
      <c r="AJ2640" s="2">
        <f t="shared" si="398"/>
        <v>0</v>
      </c>
      <c r="AK2640" s="2">
        <f t="shared" si="393"/>
        <v>278.01</v>
      </c>
      <c r="AL2640" s="5">
        <f t="shared" si="395"/>
        <v>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6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7"/>
        <v>0</v>
      </c>
      <c r="AG2641" s="2">
        <f>144.14+15.4</f>
        <v>159.54</v>
      </c>
      <c r="AH2641" s="2">
        <v>280</v>
      </c>
      <c r="AJ2641" s="2">
        <f t="shared" si="398"/>
        <v>0</v>
      </c>
      <c r="AK2641" s="2">
        <f t="shared" si="393"/>
        <v>110.46000000000001</v>
      </c>
      <c r="AL2641" s="5">
        <f t="shared" si="395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6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7"/>
        <v>0</v>
      </c>
      <c r="AJ2642" s="2">
        <f t="shared" si="398"/>
        <v>0</v>
      </c>
      <c r="AK2642" s="2">
        <f t="shared" si="393"/>
        <v>0</v>
      </c>
      <c r="AL2642" s="5">
        <f t="shared" si="395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6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7"/>
        <v>0</v>
      </c>
      <c r="AG2643" s="2">
        <v>10.6</v>
      </c>
      <c r="AH2643" s="2">
        <v>18</v>
      </c>
      <c r="AJ2643" s="2">
        <f t="shared" si="398"/>
        <v>0</v>
      </c>
      <c r="AK2643" s="2">
        <f t="shared" si="393"/>
        <v>34</v>
      </c>
      <c r="AL2643" s="5">
        <f t="shared" si="395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6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7"/>
        <v>0</v>
      </c>
      <c r="AJ2644" s="2">
        <f t="shared" si="398"/>
        <v>0</v>
      </c>
      <c r="AK2644" s="2">
        <f t="shared" ref="AK2644:AK2707" si="399">T2644-W2644</f>
        <v>487.94499999999999</v>
      </c>
      <c r="AL2644" s="5">
        <f t="shared" si="395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96"/>
        <v>1</v>
      </c>
      <c r="Z2645" s="2" t="s">
        <v>119</v>
      </c>
      <c r="AA2645" s="2" t="s">
        <v>3379</v>
      </c>
      <c r="AF2645" s="2">
        <f t="shared" si="397"/>
        <v>0</v>
      </c>
      <c r="AJ2645" s="2">
        <f t="shared" si="398"/>
        <v>0</v>
      </c>
      <c r="AK2645" s="2">
        <f t="shared" si="399"/>
        <v>100.94</v>
      </c>
      <c r="AL2645" s="5">
        <f t="shared" si="395"/>
        <v>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6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7"/>
        <v>0</v>
      </c>
      <c r="AJ2646" s="2">
        <f t="shared" si="398"/>
        <v>0</v>
      </c>
      <c r="AK2646" s="2">
        <f t="shared" si="399"/>
        <v>84.844999999999999</v>
      </c>
      <c r="AL2646" s="5">
        <f t="shared" si="395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0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7"/>
        <v>0</v>
      </c>
      <c r="AJ2647" s="2">
        <f t="shared" si="398"/>
        <v>0</v>
      </c>
      <c r="AK2647" s="2">
        <f t="shared" si="399"/>
        <v>0</v>
      </c>
      <c r="AL2647" s="5">
        <f t="shared" si="395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0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7"/>
        <v>0</v>
      </c>
      <c r="AJ2648" s="2">
        <f t="shared" si="398"/>
        <v>0</v>
      </c>
      <c r="AK2648" s="2">
        <f t="shared" si="399"/>
        <v>1601</v>
      </c>
      <c r="AL2648" s="5">
        <f t="shared" si="395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0"/>
        <v>1</v>
      </c>
      <c r="Z2649" s="2" t="s">
        <v>117</v>
      </c>
      <c r="AA2649" s="2" t="s">
        <v>317</v>
      </c>
      <c r="AF2649" s="2">
        <f t="shared" si="397"/>
        <v>0</v>
      </c>
      <c r="AJ2649" s="2">
        <f t="shared" si="398"/>
        <v>0</v>
      </c>
      <c r="AK2649" s="2">
        <f t="shared" si="399"/>
        <v>975</v>
      </c>
      <c r="AL2649" s="5">
        <f t="shared" si="395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0"/>
        <v>#DIV/0!</v>
      </c>
      <c r="Z2650" s="2" t="s">
        <v>117</v>
      </c>
      <c r="AA2650" s="2" t="s">
        <v>317</v>
      </c>
      <c r="AF2650" s="2">
        <f t="shared" si="397"/>
        <v>0</v>
      </c>
      <c r="AJ2650" s="2">
        <f t="shared" si="398"/>
        <v>0</v>
      </c>
      <c r="AK2650" s="2">
        <f t="shared" si="399"/>
        <v>0</v>
      </c>
      <c r="AL2650" s="5" t="e">
        <f t="shared" si="395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97"/>
        <v>0</v>
      </c>
      <c r="AJ2651" s="2">
        <f t="shared" si="398"/>
        <v>0</v>
      </c>
      <c r="AK2651" s="2">
        <f t="shared" si="399"/>
        <v>0</v>
      </c>
      <c r="AL2651" s="5" t="e">
        <f t="shared" si="395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401">(T2652-W2652)/T2652</f>
        <v>1</v>
      </c>
      <c r="Z2652" s="2" t="s">
        <v>104</v>
      </c>
      <c r="AF2652" s="2">
        <f t="shared" si="397"/>
        <v>0</v>
      </c>
      <c r="AJ2652" s="2">
        <f t="shared" si="398"/>
        <v>0</v>
      </c>
      <c r="AK2652" s="2">
        <f t="shared" si="399"/>
        <v>15990</v>
      </c>
      <c r="AL2652" s="5">
        <f t="shared" si="395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7"/>
        <v>0</v>
      </c>
      <c r="AJ2653" s="2">
        <f t="shared" si="398"/>
        <v>0</v>
      </c>
      <c r="AK2653" s="2">
        <f t="shared" si="399"/>
        <v>-26659.4</v>
      </c>
      <c r="AL2653" s="18">
        <f t="shared" ref="AL2653" si="402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3440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1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7"/>
        <v>0</v>
      </c>
      <c r="AG2654" s="2">
        <v>1.1122000000000001</v>
      </c>
      <c r="AH2654" s="2">
        <v>3</v>
      </c>
      <c r="AJ2654" s="2">
        <f t="shared" si="398"/>
        <v>0</v>
      </c>
      <c r="AK2654" s="2">
        <f t="shared" si="399"/>
        <v>15.102399999999999</v>
      </c>
      <c r="AL2654" s="5">
        <f t="shared" ref="AL2653:AL2716" si="403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1"/>
        <v>0.4</v>
      </c>
      <c r="Z2655" s="2" t="s">
        <v>3226</v>
      </c>
      <c r="AA2655" s="2" t="s">
        <v>46</v>
      </c>
      <c r="AB2655" s="2" t="s">
        <v>60</v>
      </c>
      <c r="AC2655" s="2" t="s">
        <v>3331</v>
      </c>
      <c r="AF2655" s="2">
        <f t="shared" si="397"/>
        <v>0</v>
      </c>
      <c r="AJ2655" s="2">
        <f t="shared" si="398"/>
        <v>0</v>
      </c>
      <c r="AK2655" s="2">
        <f t="shared" si="399"/>
        <v>116</v>
      </c>
      <c r="AL2655" s="5">
        <f t="shared" si="403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1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3331</v>
      </c>
      <c r="AF2656" s="2">
        <f t="shared" si="397"/>
        <v>0</v>
      </c>
      <c r="AJ2656" s="2">
        <f t="shared" si="398"/>
        <v>0</v>
      </c>
      <c r="AK2656" s="2">
        <f t="shared" si="399"/>
        <v>127.60000000000002</v>
      </c>
      <c r="AL2656" s="5">
        <f t="shared" si="403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1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7"/>
        <v>0</v>
      </c>
      <c r="AG2657" s="2">
        <f>132.55+8.31</f>
        <v>140.86000000000001</v>
      </c>
      <c r="AH2657" s="2">
        <v>250</v>
      </c>
      <c r="AJ2657" s="2">
        <f t="shared" si="398"/>
        <v>0</v>
      </c>
      <c r="AK2657" s="2">
        <f t="shared" si="399"/>
        <v>129.13999999999999</v>
      </c>
      <c r="AL2657" s="5">
        <f t="shared" si="403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1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7"/>
        <v>0</v>
      </c>
      <c r="AJ2658" s="2">
        <f t="shared" si="398"/>
        <v>0</v>
      </c>
      <c r="AK2658" s="2">
        <f t="shared" si="399"/>
        <v>0</v>
      </c>
      <c r="AL2658" s="5">
        <f t="shared" si="403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7"/>
        <v>0</v>
      </c>
      <c r="AJ2659" s="2">
        <f t="shared" si="398"/>
        <v>0</v>
      </c>
      <c r="AK2659" s="2">
        <f t="shared" si="399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7"/>
        <v>0</v>
      </c>
      <c r="AJ2660" s="2">
        <f t="shared" si="398"/>
        <v>0</v>
      </c>
      <c r="AK2660" s="2">
        <f t="shared" si="399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1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7"/>
        <v>0</v>
      </c>
      <c r="AG2661" s="2">
        <v>5.35</v>
      </c>
      <c r="AJ2661" s="2">
        <f t="shared" si="398"/>
        <v>0</v>
      </c>
      <c r="AK2661" s="2">
        <f t="shared" si="399"/>
        <v>4.2900000000000009</v>
      </c>
      <c r="AL2661" s="5">
        <f t="shared" si="403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1"/>
        <v>0.25</v>
      </c>
      <c r="Z2662" s="2" t="s">
        <v>169</v>
      </c>
      <c r="AA2662" s="2" t="s">
        <v>169</v>
      </c>
      <c r="AF2662" s="2">
        <f t="shared" si="397"/>
        <v>0</v>
      </c>
      <c r="AJ2662" s="2">
        <f t="shared" si="398"/>
        <v>0</v>
      </c>
      <c r="AK2662" s="2">
        <f t="shared" si="399"/>
        <v>2</v>
      </c>
      <c r="AL2662" s="5">
        <f t="shared" si="403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1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7"/>
        <v>0</v>
      </c>
      <c r="AJ2663" s="2">
        <f t="shared" si="398"/>
        <v>0</v>
      </c>
      <c r="AK2663" s="2">
        <f t="shared" si="399"/>
        <v>10.14</v>
      </c>
      <c r="AL2663" s="5">
        <f t="shared" si="403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1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7"/>
        <v>0</v>
      </c>
      <c r="AG2664" s="2">
        <v>3.7357999999999998</v>
      </c>
      <c r="AH2664" s="2">
        <v>9</v>
      </c>
      <c r="AJ2664" s="2">
        <f t="shared" si="398"/>
        <v>0</v>
      </c>
      <c r="AK2664" s="2">
        <f t="shared" si="399"/>
        <v>16.256799999999998</v>
      </c>
      <c r="AL2664" s="5">
        <f t="shared" si="403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1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7"/>
        <v>0</v>
      </c>
      <c r="AJ2665" s="2">
        <f t="shared" si="398"/>
        <v>0</v>
      </c>
      <c r="AK2665" s="2">
        <f t="shared" si="399"/>
        <v>144.2466</v>
      </c>
      <c r="AL2665" s="5">
        <f t="shared" si="403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1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7"/>
        <v>0</v>
      </c>
      <c r="AJ2666" s="2">
        <f t="shared" si="398"/>
        <v>0</v>
      </c>
      <c r="AK2666" s="2">
        <f t="shared" si="399"/>
        <v>0</v>
      </c>
      <c r="AL2666" s="5">
        <f t="shared" si="403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7"/>
        <v>0</v>
      </c>
      <c r="AJ2667" s="2">
        <f t="shared" si="398"/>
        <v>0</v>
      </c>
      <c r="AK2667" s="2">
        <f t="shared" si="399"/>
        <v>-2836.96</v>
      </c>
      <c r="AL2667" s="18">
        <f t="shared" ref="AL2667" si="404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1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7"/>
        <v>0</v>
      </c>
      <c r="AJ2668" s="2">
        <f t="shared" si="398"/>
        <v>0</v>
      </c>
      <c r="AK2668" s="2">
        <f t="shared" si="399"/>
        <v>763.04</v>
      </c>
      <c r="AL2668" s="5">
        <f t="shared" si="403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1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7"/>
        <v>0</v>
      </c>
      <c r="AG2669" s="2">
        <v>121.46</v>
      </c>
      <c r="AH2669" s="2">
        <v>210</v>
      </c>
      <c r="AJ2669" s="2">
        <f t="shared" si="398"/>
        <v>0</v>
      </c>
      <c r="AK2669" s="2">
        <f t="shared" si="399"/>
        <v>88.54</v>
      </c>
      <c r="AL2669" s="5">
        <f t="shared" si="403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1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7"/>
        <v>0</v>
      </c>
      <c r="AJ2670" s="2">
        <f t="shared" si="398"/>
        <v>0</v>
      </c>
      <c r="AK2670" s="2">
        <f t="shared" si="399"/>
        <v>0</v>
      </c>
      <c r="AL2670" s="5">
        <f t="shared" si="403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1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7"/>
        <v>0</v>
      </c>
      <c r="AG2671" s="2">
        <v>131.93</v>
      </c>
      <c r="AH2671" s="2">
        <v>220</v>
      </c>
      <c r="AJ2671" s="2">
        <f t="shared" si="398"/>
        <v>0</v>
      </c>
      <c r="AK2671" s="2">
        <f t="shared" si="399"/>
        <v>88.07</v>
      </c>
      <c r="AL2671" s="5">
        <f t="shared" si="403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1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7"/>
        <v>0</v>
      </c>
      <c r="AJ2672" s="2">
        <f t="shared" si="398"/>
        <v>0</v>
      </c>
      <c r="AK2672" s="2">
        <f t="shared" si="399"/>
        <v>0</v>
      </c>
      <c r="AL2672" s="5">
        <f t="shared" si="403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1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7"/>
        <v>0</v>
      </c>
      <c r="AG2673" s="2">
        <v>117.453</v>
      </c>
      <c r="AH2673" s="2">
        <v>220</v>
      </c>
      <c r="AJ2673" s="2">
        <f t="shared" si="398"/>
        <v>0</v>
      </c>
      <c r="AK2673" s="2">
        <f t="shared" si="399"/>
        <v>92.546999999999997</v>
      </c>
      <c r="AL2673" s="5">
        <f t="shared" si="403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1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7"/>
        <v>0</v>
      </c>
      <c r="AJ2674" s="2">
        <f t="shared" si="398"/>
        <v>0</v>
      </c>
      <c r="AK2674" s="2">
        <f t="shared" si="399"/>
        <v>0</v>
      </c>
      <c r="AL2674" s="5">
        <f t="shared" si="403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1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7"/>
        <v>0</v>
      </c>
      <c r="AJ2675" s="2">
        <f t="shared" si="398"/>
        <v>0</v>
      </c>
      <c r="AK2675" s="2">
        <f t="shared" si="399"/>
        <v>118.18399999999997</v>
      </c>
      <c r="AL2675" s="5">
        <f t="shared" si="403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1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7"/>
        <v>0</v>
      </c>
      <c r="AG2676" s="2">
        <v>2242.31</v>
      </c>
      <c r="AJ2676" s="2">
        <f t="shared" si="398"/>
        <v>0</v>
      </c>
      <c r="AK2676" s="2">
        <f t="shared" si="399"/>
        <v>407.69000000000005</v>
      </c>
      <c r="AL2676" s="5">
        <f t="shared" si="403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1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7"/>
        <v>0</v>
      </c>
      <c r="AJ2677" s="2">
        <f t="shared" si="398"/>
        <v>0</v>
      </c>
      <c r="AK2677" s="2">
        <f t="shared" si="399"/>
        <v>132.75</v>
      </c>
      <c r="AL2677" s="5">
        <f t="shared" si="403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1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7"/>
        <v>0</v>
      </c>
      <c r="AJ2678" s="2">
        <f t="shared" si="398"/>
        <v>0</v>
      </c>
      <c r="AK2678" s="2">
        <f t="shared" si="399"/>
        <v>101.25</v>
      </c>
      <c r="AL2678" s="5">
        <f t="shared" si="403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401"/>
        <v>1</v>
      </c>
      <c r="Z2679" s="2" t="s">
        <v>119</v>
      </c>
      <c r="AA2679" s="2" t="s">
        <v>3379</v>
      </c>
      <c r="AF2679" s="2">
        <f t="shared" si="397"/>
        <v>0</v>
      </c>
      <c r="AJ2679" s="2">
        <f t="shared" si="398"/>
        <v>0</v>
      </c>
      <c r="AK2679" s="2">
        <f t="shared" si="399"/>
        <v>75</v>
      </c>
      <c r="AL2679" s="5">
        <f t="shared" si="403"/>
        <v>1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1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7"/>
        <v>0</v>
      </c>
      <c r="AJ2680" s="2">
        <f t="shared" si="398"/>
        <v>0</v>
      </c>
      <c r="AK2680" s="2">
        <f t="shared" si="399"/>
        <v>25</v>
      </c>
      <c r="AL2680" s="5">
        <f t="shared" si="403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401"/>
        <v>1</v>
      </c>
      <c r="Z2681" s="2" t="s">
        <v>119</v>
      </c>
      <c r="AA2681" s="2" t="s">
        <v>3379</v>
      </c>
      <c r="AF2681" s="2">
        <f t="shared" si="397"/>
        <v>0</v>
      </c>
      <c r="AJ2681" s="2">
        <f t="shared" si="398"/>
        <v>0</v>
      </c>
      <c r="AK2681" s="2">
        <f t="shared" si="399"/>
        <v>178.91</v>
      </c>
      <c r="AL2681" s="5">
        <f t="shared" si="403"/>
        <v>1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1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7"/>
        <v>0</v>
      </c>
      <c r="AJ2682" s="2">
        <f t="shared" si="398"/>
        <v>0</v>
      </c>
      <c r="AK2682" s="2">
        <f t="shared" si="399"/>
        <v>278</v>
      </c>
      <c r="AL2682" s="5">
        <f t="shared" si="403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1"/>
        <v>1</v>
      </c>
      <c r="AF2683" s="2">
        <f t="shared" si="397"/>
        <v>0</v>
      </c>
      <c r="AJ2683" s="2">
        <f t="shared" si="398"/>
        <v>0</v>
      </c>
      <c r="AK2683" s="2">
        <f t="shared" si="399"/>
        <v>65.510000000000005</v>
      </c>
      <c r="AL2683" s="5">
        <f t="shared" si="403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5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7"/>
        <v>0</v>
      </c>
      <c r="AJ2684" s="2">
        <f t="shared" si="398"/>
        <v>0</v>
      </c>
      <c r="AK2684" s="2">
        <f t="shared" si="399"/>
        <v>42.599999999999994</v>
      </c>
      <c r="AL2684" s="5">
        <f t="shared" si="403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5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7"/>
        <v>0</v>
      </c>
      <c r="AJ2685" s="2">
        <f t="shared" si="398"/>
        <v>0</v>
      </c>
      <c r="AK2685" s="2">
        <f t="shared" si="399"/>
        <v>25</v>
      </c>
      <c r="AL2685" s="5">
        <f t="shared" si="403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405"/>
        <v>1</v>
      </c>
      <c r="Z2686" s="2" t="s">
        <v>119</v>
      </c>
      <c r="AA2686" s="2" t="s">
        <v>3379</v>
      </c>
      <c r="AF2686" s="2">
        <f t="shared" si="397"/>
        <v>0</v>
      </c>
      <c r="AJ2686" s="2">
        <f t="shared" si="398"/>
        <v>0</v>
      </c>
      <c r="AK2686" s="2">
        <f t="shared" si="399"/>
        <v>99.75</v>
      </c>
      <c r="AL2686" s="5">
        <f t="shared" si="403"/>
        <v>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5"/>
        <v>1</v>
      </c>
      <c r="AF2687" s="2">
        <f t="shared" si="397"/>
        <v>0</v>
      </c>
      <c r="AJ2687" s="2">
        <f t="shared" si="398"/>
        <v>0</v>
      </c>
      <c r="AK2687" s="2">
        <f t="shared" si="399"/>
        <v>234.11</v>
      </c>
      <c r="AL2687" s="5">
        <f t="shared" si="403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5"/>
        <v>0.4</v>
      </c>
      <c r="Z2688" s="2" t="s">
        <v>3226</v>
      </c>
      <c r="AA2688" s="2" t="s">
        <v>46</v>
      </c>
      <c r="AB2688" s="2" t="s">
        <v>60</v>
      </c>
      <c r="AC2688" s="2" t="s">
        <v>3331</v>
      </c>
      <c r="AF2688" s="2">
        <f t="shared" si="397"/>
        <v>0</v>
      </c>
      <c r="AJ2688" s="2">
        <f t="shared" si="398"/>
        <v>0</v>
      </c>
      <c r="AK2688" s="2">
        <f t="shared" si="399"/>
        <v>92.800000000000011</v>
      </c>
      <c r="AL2688" s="5">
        <f t="shared" si="403"/>
        <v>0.4</v>
      </c>
    </row>
    <row r="2689" spans="1:38" x14ac:dyDescent="0.2">
      <c r="A2689" s="2">
        <v>2025</v>
      </c>
      <c r="B2689" s="2">
        <v>9</v>
      </c>
      <c r="C2689" s="2" t="s">
        <v>3474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5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7"/>
        <v>0</v>
      </c>
      <c r="AJ2689" s="2">
        <f t="shared" si="398"/>
        <v>0</v>
      </c>
      <c r="AK2689" s="2">
        <f t="shared" si="399"/>
        <v>17.755000000000003</v>
      </c>
      <c r="AL2689" s="5">
        <f t="shared" si="403"/>
        <v>0.61649305555555567</v>
      </c>
    </row>
    <row r="2690" spans="1:38" x14ac:dyDescent="0.2">
      <c r="A2690" s="2">
        <v>2025</v>
      </c>
      <c r="B2690" s="2">
        <v>9</v>
      </c>
      <c r="C2690" s="2" t="s">
        <v>3474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5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6">AJ2690</f>
        <v>0</v>
      </c>
      <c r="AJ2690" s="2">
        <f t="shared" ref="AJ2690:AJ2753" si="407">AI2690*T2690</f>
        <v>0</v>
      </c>
      <c r="AK2690" s="2">
        <f t="shared" si="399"/>
        <v>10.593299999999999</v>
      </c>
      <c r="AL2690" s="5">
        <f t="shared" si="403"/>
        <v>0.44138749999999999</v>
      </c>
    </row>
    <row r="2691" spans="1:38" x14ac:dyDescent="0.2">
      <c r="A2691" s="2">
        <v>2025</v>
      </c>
      <c r="B2691" s="2">
        <v>9</v>
      </c>
      <c r="C2691" s="2" t="s">
        <v>3474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5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6"/>
        <v>0</v>
      </c>
      <c r="AJ2691" s="2">
        <f t="shared" si="407"/>
        <v>0</v>
      </c>
      <c r="AK2691" s="2">
        <f t="shared" si="399"/>
        <v>7.5654000000000003</v>
      </c>
      <c r="AL2691" s="5">
        <f t="shared" si="403"/>
        <v>0.45032142857142859</v>
      </c>
    </row>
    <row r="2692" spans="1:38" x14ac:dyDescent="0.2">
      <c r="A2692" s="2">
        <v>2025</v>
      </c>
      <c r="B2692" s="2">
        <v>9</v>
      </c>
      <c r="C2692" s="2" t="s">
        <v>3474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5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6"/>
        <v>0</v>
      </c>
      <c r="AG2692" s="2">
        <v>8.1999999999999993</v>
      </c>
      <c r="AH2692" s="2">
        <v>13</v>
      </c>
      <c r="AJ2692" s="2">
        <f t="shared" si="407"/>
        <v>0</v>
      </c>
      <c r="AK2692" s="2">
        <f t="shared" si="399"/>
        <v>28</v>
      </c>
      <c r="AL2692" s="5">
        <f t="shared" si="403"/>
        <v>0.25454545454545452</v>
      </c>
    </row>
    <row r="2693" spans="1:38" x14ac:dyDescent="0.2">
      <c r="A2693" s="2">
        <v>2025</v>
      </c>
      <c r="B2693" s="2">
        <v>9</v>
      </c>
      <c r="C2693" s="2" t="s">
        <v>3474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5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6"/>
        <v>0</v>
      </c>
      <c r="AJ2693" s="2">
        <f t="shared" si="407"/>
        <v>0</v>
      </c>
      <c r="AK2693" s="2">
        <f t="shared" si="399"/>
        <v>8.41</v>
      </c>
      <c r="AL2693" s="5">
        <f t="shared" si="403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5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6"/>
        <v>0</v>
      </c>
      <c r="AJ2694" s="2">
        <f t="shared" si="407"/>
        <v>0</v>
      </c>
      <c r="AK2694" s="2">
        <f t="shared" si="399"/>
        <v>160</v>
      </c>
      <c r="AL2694" s="5">
        <f t="shared" si="403"/>
        <v>1</v>
      </c>
    </row>
    <row r="2695" spans="1:38" x14ac:dyDescent="0.2">
      <c r="A2695" s="2">
        <v>2025</v>
      </c>
      <c r="B2695" s="2">
        <v>9</v>
      </c>
      <c r="C2695" s="2" t="s">
        <v>3440</v>
      </c>
      <c r="D2695" s="2" t="s">
        <v>3302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5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6"/>
        <v>0</v>
      </c>
      <c r="AJ2695" s="2">
        <f t="shared" si="407"/>
        <v>0</v>
      </c>
      <c r="AK2695" s="2">
        <f t="shared" si="399"/>
        <v>4330.6000000000004</v>
      </c>
      <c r="AL2695" s="5">
        <f t="shared" si="403"/>
        <v>0.28870666666666667</v>
      </c>
    </row>
    <row r="2696" spans="1:38" x14ac:dyDescent="0.2">
      <c r="A2696" s="2">
        <v>2025</v>
      </c>
      <c r="B2696" s="2">
        <v>9</v>
      </c>
      <c r="C2696" s="2" t="s">
        <v>3410</v>
      </c>
      <c r="D2696" s="2" t="s">
        <v>3458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5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6"/>
        <v>0</v>
      </c>
      <c r="AJ2696" s="2">
        <f t="shared" si="407"/>
        <v>0</v>
      </c>
      <c r="AK2696" s="2">
        <f t="shared" si="399"/>
        <v>2400</v>
      </c>
      <c r="AL2696" s="5">
        <f t="shared" si="403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5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6"/>
        <v>0</v>
      </c>
      <c r="AJ2697" s="2">
        <f t="shared" si="407"/>
        <v>0</v>
      </c>
      <c r="AK2697" s="2">
        <f t="shared" si="399"/>
        <v>35.83</v>
      </c>
      <c r="AL2697" s="5">
        <f t="shared" si="403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5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6"/>
        <v>0</v>
      </c>
      <c r="AJ2698" s="2">
        <f t="shared" si="407"/>
        <v>0</v>
      </c>
      <c r="AK2698" s="2">
        <f t="shared" si="399"/>
        <v>100.74</v>
      </c>
      <c r="AL2698" s="5">
        <f t="shared" si="403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5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6"/>
        <v>0</v>
      </c>
      <c r="AJ2699" s="2">
        <f t="shared" si="407"/>
        <v>0</v>
      </c>
      <c r="AK2699" s="2">
        <f t="shared" si="399"/>
        <v>0</v>
      </c>
      <c r="AL2699" s="5">
        <f t="shared" si="403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5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6"/>
        <v>0</v>
      </c>
      <c r="AG2700" s="2">
        <v>150.37</v>
      </c>
      <c r="AJ2700" s="2">
        <f t="shared" si="407"/>
        <v>0</v>
      </c>
      <c r="AK2700" s="2">
        <f t="shared" si="399"/>
        <v>52.879999999999995</v>
      </c>
      <c r="AL2700" s="5">
        <f t="shared" si="403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5"/>
        <v>0.23333333333333334</v>
      </c>
      <c r="Z2701" s="2" t="s">
        <v>169</v>
      </c>
      <c r="AA2701" s="2" t="s">
        <v>169</v>
      </c>
      <c r="AF2701" s="2">
        <f t="shared" si="406"/>
        <v>0</v>
      </c>
      <c r="AJ2701" s="2">
        <f t="shared" si="407"/>
        <v>0</v>
      </c>
      <c r="AK2701" s="2">
        <f t="shared" si="399"/>
        <v>7</v>
      </c>
      <c r="AL2701" s="5">
        <f t="shared" si="403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5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6"/>
        <v>0</v>
      </c>
      <c r="AG2702" s="2">
        <v>119.33</v>
      </c>
      <c r="AH2702" s="2">
        <v>220</v>
      </c>
      <c r="AJ2702" s="2">
        <f t="shared" si="407"/>
        <v>0</v>
      </c>
      <c r="AK2702" s="2">
        <f t="shared" si="399"/>
        <v>100.67</v>
      </c>
      <c r="AL2702" s="5">
        <f t="shared" si="403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5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6"/>
        <v>0</v>
      </c>
      <c r="AJ2703" s="2">
        <f t="shared" si="407"/>
        <v>0</v>
      </c>
      <c r="AK2703" s="2">
        <f t="shared" si="399"/>
        <v>0</v>
      </c>
      <c r="AL2703" s="5">
        <f t="shared" si="403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5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6"/>
        <v>0</v>
      </c>
      <c r="AJ2704" s="2">
        <f t="shared" si="407"/>
        <v>0</v>
      </c>
      <c r="AK2704" s="2">
        <f t="shared" si="399"/>
        <v>443.61</v>
      </c>
      <c r="AL2704" s="5">
        <f t="shared" si="403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5"/>
        <v>1</v>
      </c>
      <c r="Z2705" s="2" t="s">
        <v>119</v>
      </c>
      <c r="AA2705" s="2" t="s">
        <v>492</v>
      </c>
      <c r="AF2705" s="2">
        <f t="shared" si="406"/>
        <v>0</v>
      </c>
      <c r="AJ2705" s="2">
        <f t="shared" si="407"/>
        <v>0</v>
      </c>
      <c r="AK2705" s="2">
        <f t="shared" si="399"/>
        <v>664.04</v>
      </c>
      <c r="AL2705" s="5">
        <f t="shared" si="403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5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6"/>
        <v>0</v>
      </c>
      <c r="AG2706" s="2">
        <v>6.6266999999999996</v>
      </c>
      <c r="AH2706" s="2">
        <v>12</v>
      </c>
      <c r="AJ2706" s="2">
        <f t="shared" si="407"/>
        <v>0</v>
      </c>
      <c r="AK2706" s="2">
        <f t="shared" si="399"/>
        <v>5.3733000000000004</v>
      </c>
      <c r="AL2706" s="5">
        <f t="shared" si="403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5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6"/>
        <v>0</v>
      </c>
      <c r="AG2707" s="2">
        <v>3.7357999999999998</v>
      </c>
      <c r="AH2707" s="2">
        <v>9</v>
      </c>
      <c r="AJ2707" s="2">
        <f t="shared" si="407"/>
        <v>0</v>
      </c>
      <c r="AK2707" s="2">
        <f t="shared" si="399"/>
        <v>4.0641999999999996</v>
      </c>
      <c r="AL2707" s="5">
        <f t="shared" si="403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5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6"/>
        <v>0</v>
      </c>
      <c r="AJ2708" s="2">
        <f t="shared" si="407"/>
        <v>0</v>
      </c>
      <c r="AK2708" s="2">
        <f t="shared" ref="AK2708:AK2771" si="408">T2708-W2708</f>
        <v>29.494199999999999</v>
      </c>
      <c r="AL2708" s="5">
        <f t="shared" si="403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5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6"/>
        <v>0</v>
      </c>
      <c r="AJ2709" s="2">
        <f t="shared" si="407"/>
        <v>0</v>
      </c>
      <c r="AK2709" s="2">
        <f t="shared" si="408"/>
        <v>22.5</v>
      </c>
      <c r="AL2709" s="5">
        <f t="shared" si="403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405"/>
        <v>1</v>
      </c>
      <c r="Z2710" s="2" t="s">
        <v>119</v>
      </c>
      <c r="AA2710" s="2" t="s">
        <v>3379</v>
      </c>
      <c r="AF2710" s="2">
        <f t="shared" si="406"/>
        <v>0</v>
      </c>
      <c r="AJ2710" s="2">
        <f t="shared" si="407"/>
        <v>0</v>
      </c>
      <c r="AK2710" s="2">
        <f t="shared" si="408"/>
        <v>418.99</v>
      </c>
      <c r="AL2710" s="5">
        <f t="shared" si="403"/>
        <v>1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5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6"/>
        <v>0</v>
      </c>
      <c r="AG2711" s="2">
        <v>10.6</v>
      </c>
      <c r="AH2711" s="2">
        <v>18</v>
      </c>
      <c r="AJ2711" s="2">
        <f t="shared" si="407"/>
        <v>0</v>
      </c>
      <c r="AK2711" s="2">
        <f t="shared" si="408"/>
        <v>22.200000000000003</v>
      </c>
      <c r="AL2711" s="5">
        <f t="shared" si="403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5"/>
        <v>0.29411764705882354</v>
      </c>
      <c r="Z2712" s="2" t="s">
        <v>169</v>
      </c>
      <c r="AA2712" s="2" t="s">
        <v>169</v>
      </c>
      <c r="AF2712" s="2">
        <f t="shared" si="406"/>
        <v>0</v>
      </c>
      <c r="AJ2712" s="2">
        <f t="shared" si="407"/>
        <v>0</v>
      </c>
      <c r="AK2712" s="2">
        <f t="shared" si="408"/>
        <v>2.5</v>
      </c>
      <c r="AL2712" s="5">
        <f t="shared" si="403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5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6"/>
        <v>0</v>
      </c>
      <c r="AJ2713" s="2">
        <f t="shared" si="407"/>
        <v>0</v>
      </c>
      <c r="AK2713" s="2">
        <f t="shared" si="408"/>
        <v>122.71000000000001</v>
      </c>
      <c r="AL2713" s="5">
        <f t="shared" si="403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5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6"/>
        <v>0</v>
      </c>
      <c r="AJ2714" s="2">
        <f t="shared" si="407"/>
        <v>0</v>
      </c>
      <c r="AK2714" s="2">
        <f t="shared" si="408"/>
        <v>0</v>
      </c>
      <c r="AL2714" s="5">
        <f t="shared" si="403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5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6"/>
        <v>0</v>
      </c>
      <c r="AG2715" s="2">
        <v>5.93</v>
      </c>
      <c r="AJ2715" s="2">
        <f t="shared" si="407"/>
        <v>0</v>
      </c>
      <c r="AK2715" s="2">
        <f t="shared" si="408"/>
        <v>3.0700000000000003</v>
      </c>
      <c r="AL2715" s="5">
        <f t="shared" si="403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09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6"/>
        <v>0</v>
      </c>
      <c r="AJ2716" s="2">
        <f t="shared" si="407"/>
        <v>0</v>
      </c>
      <c r="AK2716" s="2">
        <f t="shared" si="408"/>
        <v>9.865000000000002</v>
      </c>
      <c r="AL2716" s="5">
        <f t="shared" si="403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09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6"/>
        <v>0</v>
      </c>
      <c r="AG2717" s="2">
        <v>6.6266999999999996</v>
      </c>
      <c r="AH2717" s="2">
        <v>12</v>
      </c>
      <c r="AJ2717" s="2">
        <f t="shared" si="407"/>
        <v>0</v>
      </c>
      <c r="AK2717" s="2">
        <f t="shared" si="408"/>
        <v>10.746600000000001</v>
      </c>
      <c r="AL2717" s="5">
        <f t="shared" ref="AL2717:AL2773" si="410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09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6"/>
        <v>0</v>
      </c>
      <c r="AG2718" s="2">
        <v>10.2346</v>
      </c>
      <c r="AH2718" s="2">
        <v>18</v>
      </c>
      <c r="AJ2718" s="2">
        <f t="shared" si="407"/>
        <v>0</v>
      </c>
      <c r="AK2718" s="2">
        <f t="shared" si="408"/>
        <v>4.7999999999999989</v>
      </c>
      <c r="AL2718" s="5">
        <f t="shared" si="410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09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6"/>
        <v>0</v>
      </c>
      <c r="AG2719" s="2">
        <v>133.91669999999999</v>
      </c>
      <c r="AJ2719" s="2">
        <f t="shared" si="407"/>
        <v>0</v>
      </c>
      <c r="AK2719" s="2">
        <f t="shared" si="408"/>
        <v>106.08330000000001</v>
      </c>
      <c r="AL2719" s="5">
        <f t="shared" si="410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09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6"/>
        <v>0</v>
      </c>
      <c r="AG2720" s="2">
        <v>108.12</v>
      </c>
      <c r="AJ2720" s="2">
        <f t="shared" si="407"/>
        <v>0</v>
      </c>
      <c r="AK2720" s="2">
        <f t="shared" si="408"/>
        <v>101.88</v>
      </c>
      <c r="AL2720" s="5">
        <f t="shared" si="410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09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6"/>
        <v>0</v>
      </c>
      <c r="AJ2721" s="2">
        <f t="shared" si="407"/>
        <v>0</v>
      </c>
      <c r="AK2721" s="2">
        <f t="shared" si="408"/>
        <v>0</v>
      </c>
      <c r="AL2721" s="5">
        <f t="shared" si="410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09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6"/>
        <v>0</v>
      </c>
      <c r="AJ2722" s="2">
        <f t="shared" si="407"/>
        <v>0</v>
      </c>
      <c r="AK2722" s="2">
        <f t="shared" si="408"/>
        <v>545.75549999999998</v>
      </c>
      <c r="AL2722" s="5">
        <f t="shared" si="410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09"/>
        <v>1</v>
      </c>
      <c r="Z2723" s="2" t="s">
        <v>3226</v>
      </c>
      <c r="AF2723" s="2">
        <f t="shared" si="406"/>
        <v>0</v>
      </c>
      <c r="AJ2723" s="2">
        <f t="shared" si="407"/>
        <v>0</v>
      </c>
      <c r="AK2723" s="2">
        <f t="shared" si="408"/>
        <v>119</v>
      </c>
      <c r="AL2723" s="5">
        <f t="shared" si="410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09"/>
        <v>1</v>
      </c>
      <c r="Z2724" s="2" t="s">
        <v>3226</v>
      </c>
      <c r="AF2724" s="2">
        <f t="shared" si="406"/>
        <v>0</v>
      </c>
      <c r="AJ2724" s="2">
        <f t="shared" si="407"/>
        <v>0</v>
      </c>
      <c r="AK2724" s="2">
        <f t="shared" si="408"/>
        <v>12.39</v>
      </c>
      <c r="AL2724" s="5">
        <f t="shared" si="410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09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6"/>
        <v>0</v>
      </c>
      <c r="AG2725" s="2">
        <v>10</v>
      </c>
      <c r="AH2725" s="2">
        <v>21</v>
      </c>
      <c r="AJ2725" s="2">
        <f t="shared" si="407"/>
        <v>0</v>
      </c>
      <c r="AK2725" s="2">
        <f t="shared" si="408"/>
        <v>8.6000000000000014</v>
      </c>
      <c r="AL2725" s="5">
        <f t="shared" si="410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09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6"/>
        <v>0</v>
      </c>
      <c r="AG2726" s="2">
        <v>10.67</v>
      </c>
      <c r="AH2726" s="2">
        <v>21</v>
      </c>
      <c r="AJ2726" s="2">
        <f t="shared" si="407"/>
        <v>0</v>
      </c>
      <c r="AK2726" s="2">
        <f t="shared" si="408"/>
        <v>7.9300000000000015</v>
      </c>
      <c r="AL2726" s="5">
        <f t="shared" si="410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09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6"/>
        <v>0</v>
      </c>
      <c r="AG2727" s="2">
        <v>6.6266999999999996</v>
      </c>
      <c r="AH2727" s="2">
        <v>12</v>
      </c>
      <c r="AJ2727" s="2">
        <f t="shared" si="407"/>
        <v>0</v>
      </c>
      <c r="AK2727" s="2">
        <f t="shared" si="408"/>
        <v>6.3733000000000004</v>
      </c>
      <c r="AL2727" s="5">
        <f t="shared" si="410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09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6"/>
        <v>0</v>
      </c>
      <c r="AG2728" s="2">
        <v>10.6</v>
      </c>
      <c r="AH2728" s="2">
        <v>18</v>
      </c>
      <c r="AJ2728" s="2">
        <f t="shared" si="407"/>
        <v>0</v>
      </c>
      <c r="AK2728" s="2">
        <f t="shared" si="408"/>
        <v>7.4</v>
      </c>
      <c r="AL2728" s="5">
        <f t="shared" si="410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09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6"/>
        <v>0</v>
      </c>
      <c r="AG2729" s="2">
        <v>8.1999999999999993</v>
      </c>
      <c r="AH2729" s="2">
        <v>13</v>
      </c>
      <c r="AJ2729" s="2">
        <f t="shared" si="407"/>
        <v>0</v>
      </c>
      <c r="AK2729" s="2">
        <f t="shared" si="408"/>
        <v>4.7999999999999989</v>
      </c>
      <c r="AL2729" s="5">
        <f t="shared" si="410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09"/>
        <v>0.29992072480181192</v>
      </c>
      <c r="Z2730" s="2" t="s">
        <v>3226</v>
      </c>
      <c r="AA2730" s="2" t="s">
        <v>155</v>
      </c>
      <c r="AB2730" s="2" t="s">
        <v>3402</v>
      </c>
      <c r="AC2730" s="2" t="s">
        <v>1327</v>
      </c>
      <c r="AF2730" s="2">
        <f t="shared" si="406"/>
        <v>0</v>
      </c>
      <c r="AJ2730" s="2">
        <f t="shared" si="407"/>
        <v>0</v>
      </c>
      <c r="AK2730" s="2">
        <f t="shared" si="408"/>
        <v>15.889799999999994</v>
      </c>
      <c r="AL2730" s="5">
        <f t="shared" si="410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09"/>
        <v>0.30000000000000004</v>
      </c>
      <c r="Z2731" s="2" t="s">
        <v>3226</v>
      </c>
      <c r="AA2731" s="2" t="s">
        <v>155</v>
      </c>
      <c r="AB2731" s="2" t="s">
        <v>3402</v>
      </c>
      <c r="AC2731" s="2" t="s">
        <v>1327</v>
      </c>
      <c r="AF2731" s="2">
        <f t="shared" si="406"/>
        <v>0</v>
      </c>
      <c r="AJ2731" s="2">
        <f t="shared" si="407"/>
        <v>0</v>
      </c>
      <c r="AK2731" s="2">
        <f t="shared" si="408"/>
        <v>12.600000000000001</v>
      </c>
      <c r="AL2731" s="5">
        <f t="shared" si="410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09"/>
        <v>1</v>
      </c>
      <c r="Z2732" s="2" t="s">
        <v>3226</v>
      </c>
      <c r="AF2732" s="2">
        <f t="shared" si="406"/>
        <v>0</v>
      </c>
      <c r="AJ2732" s="2">
        <f t="shared" si="407"/>
        <v>0</v>
      </c>
      <c r="AK2732" s="2">
        <f t="shared" si="408"/>
        <v>59.95</v>
      </c>
      <c r="AL2732" s="5">
        <f t="shared" si="410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09"/>
        <v>1</v>
      </c>
      <c r="Z2733" s="2" t="s">
        <v>3226</v>
      </c>
      <c r="AF2733" s="2">
        <f t="shared" si="406"/>
        <v>0</v>
      </c>
      <c r="AJ2733" s="2">
        <f t="shared" si="407"/>
        <v>0</v>
      </c>
      <c r="AK2733" s="2">
        <f t="shared" si="408"/>
        <v>59.95</v>
      </c>
      <c r="AL2733" s="5">
        <f t="shared" si="410"/>
        <v>1</v>
      </c>
    </row>
    <row r="2734" spans="1:38" x14ac:dyDescent="0.2">
      <c r="A2734" s="2">
        <v>2025</v>
      </c>
      <c r="B2734" s="2">
        <v>9</v>
      </c>
      <c r="C2734" s="2" t="s">
        <v>3474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09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6"/>
        <v>0</v>
      </c>
      <c r="AJ2734" s="2">
        <f t="shared" si="407"/>
        <v>0</v>
      </c>
      <c r="AK2734" s="2">
        <f t="shared" si="408"/>
        <v>68.400000000000006</v>
      </c>
      <c r="AL2734" s="5">
        <f t="shared" si="410"/>
        <v>0.60000000000000009</v>
      </c>
    </row>
    <row r="2735" spans="1:38" x14ac:dyDescent="0.2">
      <c r="A2735" s="2">
        <v>2025</v>
      </c>
      <c r="B2735" s="2">
        <v>9</v>
      </c>
      <c r="C2735" s="2" t="s">
        <v>3474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09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6"/>
        <v>0</v>
      </c>
      <c r="AJ2735" s="2">
        <f t="shared" si="407"/>
        <v>0</v>
      </c>
      <c r="AK2735" s="2">
        <f t="shared" si="408"/>
        <v>100</v>
      </c>
      <c r="AL2735" s="5">
        <f t="shared" si="410"/>
        <v>0.5</v>
      </c>
    </row>
    <row r="2736" spans="1:38" x14ac:dyDescent="0.2">
      <c r="A2736" s="2">
        <v>2025</v>
      </c>
      <c r="B2736" s="2">
        <v>9</v>
      </c>
      <c r="C2736" s="2" t="s">
        <v>3474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409"/>
        <v>1</v>
      </c>
      <c r="Z2736" s="2" t="s">
        <v>119</v>
      </c>
      <c r="AA2736" s="2" t="s">
        <v>3379</v>
      </c>
      <c r="AF2736" s="2">
        <f t="shared" si="406"/>
        <v>0</v>
      </c>
      <c r="AJ2736" s="2">
        <f t="shared" si="407"/>
        <v>0</v>
      </c>
      <c r="AK2736" s="2">
        <f t="shared" si="408"/>
        <v>220.11</v>
      </c>
      <c r="AL2736" s="5">
        <f t="shared" si="410"/>
        <v>1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09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6"/>
        <v>0</v>
      </c>
      <c r="AG2737" s="2">
        <v>117.453</v>
      </c>
      <c r="AH2737" s="2">
        <v>220</v>
      </c>
      <c r="AJ2737" s="2">
        <f t="shared" si="407"/>
        <v>0</v>
      </c>
      <c r="AK2737" s="2">
        <f t="shared" si="408"/>
        <v>92.537000000000006</v>
      </c>
      <c r="AL2737" s="5">
        <f t="shared" si="410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09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6"/>
        <v>0</v>
      </c>
      <c r="AJ2738" s="2">
        <f t="shared" si="407"/>
        <v>0</v>
      </c>
      <c r="AK2738" s="2">
        <f t="shared" si="408"/>
        <v>0</v>
      </c>
      <c r="AL2738" s="5">
        <f t="shared" si="410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09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6"/>
        <v>0</v>
      </c>
      <c r="AG2739" s="2">
        <v>5.33</v>
      </c>
      <c r="AJ2739" s="2">
        <f t="shared" si="407"/>
        <v>0</v>
      </c>
      <c r="AK2739" s="2">
        <f t="shared" si="408"/>
        <v>13.829999999999998</v>
      </c>
      <c r="AL2739" s="5">
        <f t="shared" si="410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09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6"/>
        <v>0</v>
      </c>
      <c r="AG2740" s="2">
        <v>119.33</v>
      </c>
      <c r="AH2740" s="2">
        <v>220</v>
      </c>
      <c r="AJ2740" s="2">
        <f t="shared" si="407"/>
        <v>0</v>
      </c>
      <c r="AK2740" s="2">
        <f t="shared" si="408"/>
        <v>100.67</v>
      </c>
      <c r="AL2740" s="5">
        <f t="shared" si="410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09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6"/>
        <v>0</v>
      </c>
      <c r="AG2741" s="2">
        <v>1.1399999999999999</v>
      </c>
      <c r="AH2741" s="2">
        <v>1.1399999999999999</v>
      </c>
      <c r="AJ2741" s="2">
        <f t="shared" si="407"/>
        <v>0</v>
      </c>
      <c r="AK2741" s="2">
        <f t="shared" si="408"/>
        <v>0</v>
      </c>
      <c r="AL2741" s="5">
        <f t="shared" si="410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09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6"/>
        <v>0</v>
      </c>
      <c r="AJ2742" s="2">
        <f t="shared" si="407"/>
        <v>0</v>
      </c>
      <c r="AK2742" s="2">
        <f t="shared" si="408"/>
        <v>23.734599999999997</v>
      </c>
      <c r="AL2742" s="5">
        <f t="shared" si="410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09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6"/>
        <v>0</v>
      </c>
      <c r="AJ2743" s="2">
        <f t="shared" si="407"/>
        <v>0</v>
      </c>
      <c r="AK2743" s="2">
        <f t="shared" si="408"/>
        <v>64.199999999999989</v>
      </c>
      <c r="AL2743" s="5">
        <f t="shared" si="410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09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6"/>
        <v>0</v>
      </c>
      <c r="AJ2744" s="2">
        <f t="shared" si="407"/>
        <v>0</v>
      </c>
      <c r="AK2744" s="2">
        <f t="shared" si="408"/>
        <v>25</v>
      </c>
      <c r="AL2744" s="5">
        <f t="shared" si="410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09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6"/>
        <v>0</v>
      </c>
      <c r="AJ2745" s="2">
        <f t="shared" si="407"/>
        <v>0</v>
      </c>
      <c r="AK2745" s="2">
        <f t="shared" si="408"/>
        <v>123.57</v>
      </c>
      <c r="AL2745" s="5">
        <f t="shared" si="410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6"/>
        <v>0</v>
      </c>
      <c r="AJ2746" s="2">
        <f t="shared" si="407"/>
        <v>0</v>
      </c>
      <c r="AK2746" s="2">
        <f t="shared" si="408"/>
        <v>0</v>
      </c>
      <c r="AL2746" s="5" t="e">
        <f t="shared" si="410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1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6"/>
        <v>0</v>
      </c>
      <c r="AJ2747" s="2">
        <f t="shared" si="407"/>
        <v>0</v>
      </c>
      <c r="AK2747" s="2">
        <f t="shared" si="408"/>
        <v>199.5</v>
      </c>
      <c r="AL2747" s="5">
        <f t="shared" si="410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1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6"/>
        <v>0</v>
      </c>
      <c r="AJ2748" s="2">
        <f t="shared" si="407"/>
        <v>0</v>
      </c>
      <c r="AK2748" s="2">
        <f t="shared" si="408"/>
        <v>61.199999999999996</v>
      </c>
      <c r="AL2748" s="5">
        <f t="shared" si="410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1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6"/>
        <v>0</v>
      </c>
      <c r="AJ2749" s="2">
        <f t="shared" si="407"/>
        <v>0</v>
      </c>
      <c r="AK2749" s="2">
        <f t="shared" si="408"/>
        <v>22.5</v>
      </c>
      <c r="AL2749" s="5">
        <f t="shared" si="410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411"/>
        <v>1</v>
      </c>
      <c r="Z2750" s="2" t="s">
        <v>119</v>
      </c>
      <c r="AA2750" s="2" t="s">
        <v>3379</v>
      </c>
      <c r="AF2750" s="2">
        <f t="shared" si="406"/>
        <v>0</v>
      </c>
      <c r="AJ2750" s="2">
        <f t="shared" si="407"/>
        <v>0</v>
      </c>
      <c r="AK2750" s="2">
        <f t="shared" si="408"/>
        <v>99.75</v>
      </c>
      <c r="AL2750" s="5">
        <f t="shared" si="410"/>
        <v>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1"/>
        <v>1</v>
      </c>
      <c r="AF2751" s="2">
        <f t="shared" si="406"/>
        <v>0</v>
      </c>
      <c r="AJ2751" s="2">
        <f t="shared" si="407"/>
        <v>0</v>
      </c>
      <c r="AK2751" s="2">
        <f t="shared" si="408"/>
        <v>23.62</v>
      </c>
      <c r="AL2751" s="5">
        <f t="shared" si="410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1"/>
        <v>1</v>
      </c>
      <c r="AF2752" s="2">
        <f t="shared" si="406"/>
        <v>0</v>
      </c>
      <c r="AJ2752" s="2">
        <f t="shared" si="407"/>
        <v>0</v>
      </c>
      <c r="AK2752" s="2">
        <f t="shared" si="408"/>
        <v>63.16</v>
      </c>
      <c r="AL2752" s="5">
        <f t="shared" si="410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1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6"/>
        <v>0</v>
      </c>
      <c r="AG2753" s="2">
        <v>117.453</v>
      </c>
      <c r="AH2753" s="2">
        <v>220</v>
      </c>
      <c r="AJ2753" s="2">
        <f t="shared" si="407"/>
        <v>0</v>
      </c>
      <c r="AK2753" s="2">
        <f t="shared" si="408"/>
        <v>85.86699999999999</v>
      </c>
      <c r="AL2753" s="5">
        <f t="shared" si="410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2">AJ2754</f>
        <v>0</v>
      </c>
      <c r="AJ2754" s="2">
        <f t="shared" ref="AJ2754:AJ2817" si="413">AI2754*T2754</f>
        <v>0</v>
      </c>
      <c r="AK2754" s="2">
        <f t="shared" si="408"/>
        <v>0</v>
      </c>
      <c r="AL2754" s="5" t="e">
        <f t="shared" si="410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4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2"/>
        <v>0</v>
      </c>
      <c r="AJ2755" s="2">
        <f t="shared" si="413"/>
        <v>0</v>
      </c>
      <c r="AK2755" s="2">
        <f t="shared" si="408"/>
        <v>22.5</v>
      </c>
      <c r="AL2755" s="5">
        <f t="shared" si="410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4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2"/>
        <v>0</v>
      </c>
      <c r="AJ2756" s="2">
        <f t="shared" si="413"/>
        <v>0</v>
      </c>
      <c r="AK2756" s="2">
        <f t="shared" si="408"/>
        <v>0</v>
      </c>
      <c r="AL2756" s="5">
        <f t="shared" si="410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4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2"/>
        <v>0</v>
      </c>
      <c r="AG2757" s="2">
        <v>8.1999999999999993</v>
      </c>
      <c r="AH2757" s="2">
        <v>13</v>
      </c>
      <c r="AJ2757" s="2">
        <f t="shared" si="413"/>
        <v>0</v>
      </c>
      <c r="AK2757" s="2">
        <f t="shared" si="408"/>
        <v>4.7999999999999989</v>
      </c>
      <c r="AL2757" s="5">
        <f t="shared" si="410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4"/>
        <v>0.25</v>
      </c>
      <c r="Z2758" s="2" t="s">
        <v>169</v>
      </c>
      <c r="AA2758" s="2" t="s">
        <v>169</v>
      </c>
      <c r="AF2758" s="2">
        <f t="shared" si="412"/>
        <v>0</v>
      </c>
      <c r="AJ2758" s="2">
        <f t="shared" si="413"/>
        <v>0</v>
      </c>
      <c r="AK2758" s="2">
        <f t="shared" si="408"/>
        <v>2</v>
      </c>
      <c r="AL2758" s="5">
        <f t="shared" si="410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4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2"/>
        <v>0</v>
      </c>
      <c r="AJ2759" s="2">
        <f t="shared" si="413"/>
        <v>0</v>
      </c>
      <c r="AK2759" s="2">
        <f t="shared" si="408"/>
        <v>5320.6</v>
      </c>
      <c r="AL2759" s="5">
        <f t="shared" si="410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4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2"/>
        <v>0</v>
      </c>
      <c r="AG2760" s="2">
        <v>10.6</v>
      </c>
      <c r="AH2760" s="2">
        <v>18</v>
      </c>
      <c r="AJ2760" s="2">
        <f t="shared" si="413"/>
        <v>0</v>
      </c>
      <c r="AK2760" s="2">
        <f t="shared" si="408"/>
        <v>34</v>
      </c>
      <c r="AL2760" s="5">
        <f t="shared" si="410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4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2"/>
        <v>0</v>
      </c>
      <c r="AJ2761" s="2">
        <f t="shared" si="413"/>
        <v>0</v>
      </c>
      <c r="AK2761" s="2">
        <f t="shared" si="408"/>
        <v>4330.6000000000004</v>
      </c>
      <c r="AL2761" s="5">
        <f t="shared" si="410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4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2"/>
        <v>0</v>
      </c>
      <c r="AG2762" s="2">
        <v>10.67</v>
      </c>
      <c r="AH2762" s="2">
        <v>21</v>
      </c>
      <c r="AJ2762" s="2">
        <f t="shared" si="413"/>
        <v>0</v>
      </c>
      <c r="AK2762" s="2">
        <f t="shared" si="408"/>
        <v>7.9300000000000015</v>
      </c>
      <c r="AL2762" s="5">
        <f t="shared" si="410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4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2"/>
        <v>0</v>
      </c>
      <c r="AJ2763" s="2">
        <f t="shared" si="413"/>
        <v>0</v>
      </c>
      <c r="AK2763" s="2">
        <f t="shared" si="408"/>
        <v>18.704999999999998</v>
      </c>
      <c r="AL2763" s="5">
        <f t="shared" si="410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4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2"/>
        <v>0</v>
      </c>
      <c r="AG2764" s="2">
        <v>8.1999999999999993</v>
      </c>
      <c r="AH2764" s="2">
        <v>13</v>
      </c>
      <c r="AJ2764" s="2">
        <f t="shared" si="413"/>
        <v>0</v>
      </c>
      <c r="AK2764" s="2">
        <f t="shared" si="408"/>
        <v>23</v>
      </c>
      <c r="AL2764" s="5">
        <f t="shared" si="410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4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2"/>
        <v>0</v>
      </c>
      <c r="AJ2765" s="2">
        <f t="shared" si="413"/>
        <v>0</v>
      </c>
      <c r="AK2765" s="2">
        <f t="shared" si="408"/>
        <v>4416.41</v>
      </c>
      <c r="AL2765" s="5">
        <f t="shared" si="410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4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2"/>
        <v>0</v>
      </c>
      <c r="AJ2766" s="2">
        <f t="shared" si="413"/>
        <v>0</v>
      </c>
      <c r="AK2766" s="2">
        <f t="shared" si="408"/>
        <v>102.15</v>
      </c>
      <c r="AL2766" s="5">
        <f t="shared" si="410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4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2"/>
        <v>0</v>
      </c>
      <c r="AJ2767" s="2">
        <f t="shared" si="413"/>
        <v>0</v>
      </c>
      <c r="AK2767" s="2">
        <f t="shared" si="408"/>
        <v>0</v>
      </c>
      <c r="AL2767" s="5">
        <f t="shared" si="410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4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2"/>
        <v>0</v>
      </c>
      <c r="AG2768" s="2">
        <v>6.6266999999999996</v>
      </c>
      <c r="AH2768" s="2">
        <v>12</v>
      </c>
      <c r="AJ2768" s="2">
        <f t="shared" si="413"/>
        <v>0</v>
      </c>
      <c r="AK2768" s="2">
        <f t="shared" si="408"/>
        <v>16.119900000000001</v>
      </c>
      <c r="AL2768" s="5">
        <f t="shared" si="410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4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2"/>
        <v>0</v>
      </c>
      <c r="AJ2769" s="2">
        <f t="shared" si="413"/>
        <v>0</v>
      </c>
      <c r="AK2769" s="2">
        <f t="shared" si="408"/>
        <v>18.704999999999998</v>
      </c>
      <c r="AL2769" s="5">
        <f t="shared" si="410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4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2"/>
        <v>0</v>
      </c>
      <c r="AG2770" s="2">
        <v>5.2972999999999999</v>
      </c>
      <c r="AH2770" s="2">
        <v>10.8</v>
      </c>
      <c r="AJ2770" s="2">
        <f t="shared" si="413"/>
        <v>0</v>
      </c>
      <c r="AK2770" s="2">
        <f t="shared" si="408"/>
        <v>4.3026999999999997</v>
      </c>
      <c r="AL2770" s="5">
        <f t="shared" si="410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4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2"/>
        <v>0</v>
      </c>
      <c r="AJ2771" s="2">
        <f t="shared" si="413"/>
        <v>0</v>
      </c>
      <c r="AK2771" s="2">
        <f t="shared" si="408"/>
        <v>6.52</v>
      </c>
      <c r="AL2771" s="5">
        <f t="shared" si="410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4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2"/>
        <v>0</v>
      </c>
      <c r="AJ2772" s="2">
        <f t="shared" si="413"/>
        <v>0</v>
      </c>
      <c r="AK2772" s="2">
        <f t="shared" ref="AK2772:AK2835" si="415">T2772-W2772</f>
        <v>-0.39999999999999991</v>
      </c>
      <c r="AL2772" s="18">
        <f t="shared" si="410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414"/>
        <v>1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2"/>
        <v>0</v>
      </c>
      <c r="AJ2773" s="2">
        <f t="shared" si="413"/>
        <v>0</v>
      </c>
      <c r="AK2773" s="2">
        <f t="shared" si="415"/>
        <v>8.4</v>
      </c>
      <c r="AL2773" s="5">
        <f t="shared" si="410"/>
        <v>1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2"/>
        <v>0</v>
      </c>
      <c r="AJ2774" s="2">
        <f t="shared" si="413"/>
        <v>0</v>
      </c>
      <c r="AK2774" s="2">
        <f t="shared" si="415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2"/>
        <v>0</v>
      </c>
      <c r="AJ2775" s="2">
        <f t="shared" si="413"/>
        <v>0</v>
      </c>
      <c r="AK2775" s="2">
        <f t="shared" si="415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2"/>
        <v>0</v>
      </c>
      <c r="AJ2776" s="2">
        <f t="shared" si="413"/>
        <v>0</v>
      </c>
      <c r="AK2776" s="2">
        <f t="shared" si="415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2"/>
        <v>0</v>
      </c>
      <c r="AG2777" s="2">
        <v>5.9066999999999998</v>
      </c>
      <c r="AH2777" s="2">
        <v>12.6</v>
      </c>
      <c r="AJ2777" s="2">
        <f t="shared" si="413"/>
        <v>0</v>
      </c>
      <c r="AK2777" s="2">
        <f t="shared" si="415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2"/>
        <v>0</v>
      </c>
      <c r="AJ2778" s="2">
        <f t="shared" si="413"/>
        <v>0</v>
      </c>
      <c r="AK2778" s="2">
        <f t="shared" si="415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6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2"/>
        <v>0</v>
      </c>
      <c r="AJ2779" s="2">
        <f t="shared" si="413"/>
        <v>0</v>
      </c>
      <c r="AK2779" s="2">
        <f t="shared" si="415"/>
        <v>-16.224900000000002</v>
      </c>
      <c r="AL2779" s="18">
        <f t="shared" ref="AL2779:AL2784" si="417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6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2"/>
        <v>0</v>
      </c>
      <c r="AG2780" s="2">
        <v>29.27</v>
      </c>
      <c r="AH2780" s="2">
        <v>60</v>
      </c>
      <c r="AJ2780" s="2">
        <f t="shared" si="413"/>
        <v>0</v>
      </c>
      <c r="AK2780" s="2">
        <f t="shared" si="415"/>
        <v>0</v>
      </c>
      <c r="AL2780" s="5">
        <f t="shared" si="417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6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2"/>
        <v>0</v>
      </c>
      <c r="AG2781" s="2">
        <v>8.1999999999999993</v>
      </c>
      <c r="AH2781" s="2">
        <v>13</v>
      </c>
      <c r="AJ2781" s="2">
        <f t="shared" si="413"/>
        <v>0</v>
      </c>
      <c r="AK2781" s="2">
        <f t="shared" si="415"/>
        <v>-8.2000000000000011</v>
      </c>
      <c r="AL2781" s="18">
        <f t="shared" si="417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6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2"/>
        <v>0</v>
      </c>
      <c r="AJ2782" s="2">
        <f t="shared" si="413"/>
        <v>0</v>
      </c>
      <c r="AK2782" s="2">
        <f t="shared" si="415"/>
        <v>-9.1399999999999988</v>
      </c>
      <c r="AL2782" s="18">
        <f t="shared" si="417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6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2"/>
        <v>0</v>
      </c>
      <c r="AG2783" s="2">
        <v>15.020300000000001</v>
      </c>
      <c r="AH2783" s="2">
        <v>27.6</v>
      </c>
      <c r="AJ2783" s="2">
        <f t="shared" si="413"/>
        <v>0</v>
      </c>
      <c r="AK2783" s="2">
        <f t="shared" si="415"/>
        <v>-45.060900000000004</v>
      </c>
      <c r="AL2783" s="18">
        <f t="shared" si="417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6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2"/>
        <v>0</v>
      </c>
      <c r="AJ2784" s="2">
        <f t="shared" si="413"/>
        <v>0</v>
      </c>
      <c r="AK2784" s="2">
        <f t="shared" si="415"/>
        <v>-4.3890000000000002</v>
      </c>
      <c r="AL2784" s="18">
        <f t="shared" si="417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18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2"/>
        <v>0</v>
      </c>
      <c r="AJ2785" s="2">
        <f t="shared" si="413"/>
        <v>0</v>
      </c>
      <c r="AK2785" s="2">
        <f t="shared" si="415"/>
        <v>79.180000000000007</v>
      </c>
      <c r="AL2785" s="5">
        <f t="shared" ref="AL2785:AL2828" si="419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18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2"/>
        <v>0</v>
      </c>
      <c r="AJ2786" s="2">
        <f t="shared" si="413"/>
        <v>0</v>
      </c>
      <c r="AK2786" s="2">
        <f t="shared" si="415"/>
        <v>0</v>
      </c>
      <c r="AL2786" s="5">
        <f t="shared" si="419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18"/>
        <v>1</v>
      </c>
      <c r="AF2787" s="2">
        <f t="shared" si="412"/>
        <v>0</v>
      </c>
      <c r="AJ2787" s="2">
        <f t="shared" si="413"/>
        <v>0</v>
      </c>
      <c r="AK2787" s="2">
        <f t="shared" si="415"/>
        <v>234.52</v>
      </c>
      <c r="AL2787" s="5">
        <f t="shared" si="419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18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2"/>
        <v>0</v>
      </c>
      <c r="AJ2788" s="2">
        <f t="shared" si="413"/>
        <v>0</v>
      </c>
      <c r="AK2788" s="2">
        <f t="shared" si="415"/>
        <v>99.75</v>
      </c>
      <c r="AL2788" s="5">
        <f t="shared" si="419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18"/>
        <v>0.4</v>
      </c>
      <c r="Z2789" s="2" t="s">
        <v>3226</v>
      </c>
      <c r="AA2789" s="2" t="s">
        <v>46</v>
      </c>
      <c r="AB2789" s="2" t="s">
        <v>60</v>
      </c>
      <c r="AC2789" s="2" t="s">
        <v>3331</v>
      </c>
      <c r="AF2789" s="2">
        <f t="shared" si="412"/>
        <v>0</v>
      </c>
      <c r="AJ2789" s="2">
        <f t="shared" si="413"/>
        <v>0</v>
      </c>
      <c r="AK2789" s="2">
        <f t="shared" si="415"/>
        <v>23.200000000000003</v>
      </c>
      <c r="AL2789" s="5">
        <f t="shared" si="419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18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2"/>
        <v>0</v>
      </c>
      <c r="AJ2790" s="2">
        <f t="shared" si="413"/>
        <v>0</v>
      </c>
      <c r="AK2790" s="2">
        <f t="shared" si="415"/>
        <v>55.349999999999994</v>
      </c>
      <c r="AL2790" s="5">
        <f t="shared" si="419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18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2"/>
        <v>0</v>
      </c>
      <c r="AJ2791" s="2">
        <f t="shared" si="413"/>
        <v>0</v>
      </c>
      <c r="AK2791" s="2">
        <f t="shared" si="415"/>
        <v>56.115000000000002</v>
      </c>
      <c r="AL2791" s="5">
        <f t="shared" si="419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18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2"/>
        <v>0</v>
      </c>
      <c r="AJ2792" s="2">
        <f t="shared" si="413"/>
        <v>0</v>
      </c>
      <c r="AK2792" s="2">
        <f t="shared" si="415"/>
        <v>8.7550000000000008</v>
      </c>
      <c r="AL2792" s="5">
        <f t="shared" si="419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18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2"/>
        <v>0</v>
      </c>
      <c r="AJ2793" s="2">
        <f t="shared" si="413"/>
        <v>0</v>
      </c>
      <c r="AK2793" s="2">
        <f t="shared" si="415"/>
        <v>10.593299999999999</v>
      </c>
      <c r="AL2793" s="5">
        <f t="shared" si="419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18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2"/>
        <v>0</v>
      </c>
      <c r="AJ2794" s="2">
        <f t="shared" si="413"/>
        <v>0</v>
      </c>
      <c r="AK2794" s="2">
        <f t="shared" si="415"/>
        <v>12.575099999999999</v>
      </c>
      <c r="AL2794" s="5">
        <f t="shared" si="419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18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2"/>
        <v>0</v>
      </c>
      <c r="AJ2795" s="2">
        <f t="shared" si="413"/>
        <v>0</v>
      </c>
      <c r="AK2795" s="2">
        <f t="shared" si="415"/>
        <v>7.5654000000000003</v>
      </c>
      <c r="AL2795" s="5">
        <f t="shared" si="419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18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2"/>
        <v>0</v>
      </c>
      <c r="AG2796" s="2">
        <v>9.14</v>
      </c>
      <c r="AH2796" s="2">
        <v>16</v>
      </c>
      <c r="AJ2796" s="2">
        <f t="shared" si="413"/>
        <v>0</v>
      </c>
      <c r="AK2796" s="2">
        <f t="shared" si="415"/>
        <v>3.8600000000000012</v>
      </c>
      <c r="AL2796" s="5">
        <f t="shared" si="419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18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2"/>
        <v>0</v>
      </c>
      <c r="AG2797" s="2">
        <v>8.1999999999999993</v>
      </c>
      <c r="AH2797" s="2">
        <v>13</v>
      </c>
      <c r="AJ2797" s="2">
        <f t="shared" si="413"/>
        <v>0</v>
      </c>
      <c r="AK2797" s="2">
        <f t="shared" si="415"/>
        <v>3.7999999999999989</v>
      </c>
      <c r="AL2797" s="5">
        <f t="shared" si="419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18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2"/>
        <v>0</v>
      </c>
      <c r="AG2798" s="2">
        <v>15.020300000000001</v>
      </c>
      <c r="AH2798" s="2">
        <v>27.6</v>
      </c>
      <c r="AJ2798" s="2">
        <f t="shared" si="413"/>
        <v>0</v>
      </c>
      <c r="AK2798" s="2">
        <f t="shared" si="415"/>
        <v>6.9796999999999993</v>
      </c>
      <c r="AL2798" s="5">
        <f t="shared" si="419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18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2"/>
        <v>0</v>
      </c>
      <c r="AJ2799" s="2">
        <f t="shared" si="413"/>
        <v>0</v>
      </c>
      <c r="AK2799" s="2">
        <f t="shared" si="415"/>
        <v>361.48979999999983</v>
      </c>
      <c r="AL2799" s="5">
        <f t="shared" si="419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18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2"/>
        <v>0</v>
      </c>
      <c r="AJ2800" s="2">
        <f t="shared" si="413"/>
        <v>0</v>
      </c>
      <c r="AK2800" s="2">
        <f t="shared" si="415"/>
        <v>25.908000000000001</v>
      </c>
      <c r="AL2800" s="5">
        <f t="shared" si="419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18"/>
        <v>-0.2</v>
      </c>
      <c r="Z2801" s="2" t="s">
        <v>169</v>
      </c>
      <c r="AA2801" s="2" t="s">
        <v>169</v>
      </c>
      <c r="AF2801" s="2">
        <f t="shared" si="412"/>
        <v>0</v>
      </c>
      <c r="AJ2801" s="2">
        <f t="shared" si="413"/>
        <v>0</v>
      </c>
      <c r="AK2801" s="2">
        <f t="shared" si="415"/>
        <v>-1</v>
      </c>
      <c r="AL2801" s="5">
        <f t="shared" si="419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18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2"/>
        <v>0</v>
      </c>
      <c r="AG2802" s="2">
        <v>119.33</v>
      </c>
      <c r="AH2802" s="2">
        <v>220</v>
      </c>
      <c r="AJ2802" s="2">
        <f t="shared" si="413"/>
        <v>0</v>
      </c>
      <c r="AK2802" s="2">
        <f t="shared" si="415"/>
        <v>110.67</v>
      </c>
      <c r="AL2802" s="5">
        <f t="shared" si="419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18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2"/>
        <v>0</v>
      </c>
      <c r="AG2803" s="2">
        <v>1.1399999999999999</v>
      </c>
      <c r="AH2803" s="2">
        <v>1.1399999999999999</v>
      </c>
      <c r="AJ2803" s="2">
        <f t="shared" si="413"/>
        <v>0</v>
      </c>
      <c r="AK2803" s="2">
        <f t="shared" si="415"/>
        <v>0</v>
      </c>
      <c r="AL2803" s="5">
        <f t="shared" si="419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18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2"/>
        <v>0</v>
      </c>
      <c r="AJ2804" s="2">
        <f t="shared" si="413"/>
        <v>0</v>
      </c>
      <c r="AK2804" s="2">
        <f t="shared" si="415"/>
        <v>47.4</v>
      </c>
      <c r="AL2804" s="5">
        <f t="shared" si="419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18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2"/>
        <v>0</v>
      </c>
      <c r="AJ2805" s="2">
        <f t="shared" si="413"/>
        <v>0</v>
      </c>
      <c r="AK2805" s="2">
        <f t="shared" si="415"/>
        <v>25</v>
      </c>
      <c r="AL2805" s="5">
        <f t="shared" si="419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18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2"/>
        <v>0</v>
      </c>
      <c r="AG2806" s="2">
        <v>117.453</v>
      </c>
      <c r="AH2806" s="2">
        <v>220</v>
      </c>
      <c r="AJ2806" s="2">
        <f t="shared" si="413"/>
        <v>0</v>
      </c>
      <c r="AK2806" s="2">
        <f t="shared" si="415"/>
        <v>102.547</v>
      </c>
      <c r="AL2806" s="5">
        <f t="shared" si="419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18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2"/>
        <v>0</v>
      </c>
      <c r="AJ2807" s="2">
        <f t="shared" si="413"/>
        <v>0</v>
      </c>
      <c r="AK2807" s="2">
        <f t="shared" si="415"/>
        <v>0</v>
      </c>
      <c r="AL2807" s="5">
        <f t="shared" si="419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18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2"/>
        <v>0</v>
      </c>
      <c r="AG2808" s="2">
        <v>299.25</v>
      </c>
      <c r="AH2808" s="2">
        <v>399</v>
      </c>
      <c r="AJ2808" s="2">
        <f t="shared" si="413"/>
        <v>0</v>
      </c>
      <c r="AK2808" s="2">
        <f t="shared" si="415"/>
        <v>99.75</v>
      </c>
      <c r="AL2808" s="5">
        <f t="shared" si="419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18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2"/>
        <v>0</v>
      </c>
      <c r="AJ2809" s="2">
        <f t="shared" si="413"/>
        <v>0</v>
      </c>
      <c r="AK2809" s="2">
        <f t="shared" si="415"/>
        <v>31.2</v>
      </c>
      <c r="AL2809" s="5">
        <f t="shared" si="419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18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2"/>
        <v>0</v>
      </c>
      <c r="AJ2810" s="2">
        <f t="shared" si="413"/>
        <v>0</v>
      </c>
      <c r="AK2810" s="2">
        <f t="shared" si="415"/>
        <v>25</v>
      </c>
      <c r="AL2810" s="5">
        <f t="shared" si="419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18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2"/>
        <v>0</v>
      </c>
      <c r="AJ2811" s="2">
        <f t="shared" si="413"/>
        <v>0</v>
      </c>
      <c r="AK2811" s="2">
        <f t="shared" si="415"/>
        <v>83.4</v>
      </c>
      <c r="AL2811" s="5">
        <f t="shared" si="419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18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2"/>
        <v>0</v>
      </c>
      <c r="AJ2812" s="2">
        <f t="shared" si="413"/>
        <v>0</v>
      </c>
      <c r="AK2812" s="2">
        <f t="shared" si="415"/>
        <v>25</v>
      </c>
      <c r="AL2812" s="5">
        <f t="shared" si="419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0">T2813</f>
        <v>26.4</v>
      </c>
      <c r="W2813" s="2">
        <f>7.2217*S2813</f>
        <v>14.4434</v>
      </c>
      <c r="X2813" s="5">
        <f t="shared" si="418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2"/>
        <v>0</v>
      </c>
      <c r="AG2813" s="2">
        <v>7.2217000000000002</v>
      </c>
      <c r="AH2813" s="2">
        <v>14.4</v>
      </c>
      <c r="AJ2813" s="2">
        <f t="shared" si="413"/>
        <v>0</v>
      </c>
      <c r="AK2813" s="2">
        <f t="shared" si="415"/>
        <v>11.956599999999998</v>
      </c>
      <c r="AL2813" s="5">
        <f t="shared" si="419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0"/>
        <v>19.8</v>
      </c>
      <c r="W2814" s="2">
        <f>11.045*S2814</f>
        <v>11.045</v>
      </c>
      <c r="X2814" s="5">
        <f t="shared" si="418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2"/>
        <v>0</v>
      </c>
      <c r="AJ2814" s="2">
        <f t="shared" si="413"/>
        <v>0</v>
      </c>
      <c r="AK2814" s="2">
        <f t="shared" si="415"/>
        <v>8.7550000000000008</v>
      </c>
      <c r="AL2814" s="5">
        <f t="shared" si="419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0"/>
        <v>24</v>
      </c>
      <c r="W2815" s="2">
        <f>13.4067*S2815</f>
        <v>13.406700000000001</v>
      </c>
      <c r="X2815" s="5">
        <f t="shared" si="418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2"/>
        <v>0</v>
      </c>
      <c r="AJ2815" s="2">
        <f t="shared" si="413"/>
        <v>0</v>
      </c>
      <c r="AK2815" s="2">
        <f t="shared" si="415"/>
        <v>10.593299999999999</v>
      </c>
      <c r="AL2815" s="5">
        <f t="shared" si="419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0"/>
        <v>210</v>
      </c>
      <c r="W2816" s="2">
        <f>0.082*S2816</f>
        <v>164</v>
      </c>
      <c r="X2816" s="5">
        <f t="shared" si="418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2"/>
        <v>0</v>
      </c>
      <c r="AG2816" s="2">
        <v>8.1999999999999993</v>
      </c>
      <c r="AH2816" s="2">
        <v>13</v>
      </c>
      <c r="AJ2816" s="2">
        <f t="shared" si="413"/>
        <v>0</v>
      </c>
      <c r="AK2816" s="2">
        <f t="shared" si="415"/>
        <v>46</v>
      </c>
      <c r="AL2816" s="5">
        <f t="shared" si="419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0"/>
        <v>57.5</v>
      </c>
      <c r="W2817" s="2">
        <f>0.0914*S2817</f>
        <v>45.699999999999996</v>
      </c>
      <c r="X2817" s="5">
        <f t="shared" si="418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2"/>
        <v>0</v>
      </c>
      <c r="AJ2817" s="2">
        <f t="shared" si="413"/>
        <v>0</v>
      </c>
      <c r="AK2817" s="2">
        <f t="shared" si="415"/>
        <v>11.800000000000004</v>
      </c>
      <c r="AL2817" s="5">
        <f t="shared" si="419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0"/>
        <v>44</v>
      </c>
      <c r="W2818" s="2">
        <f>15.0203*S2818</f>
        <v>30.040600000000001</v>
      </c>
      <c r="X2818" s="5">
        <f t="shared" si="418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1" si="421">AJ2818</f>
        <v>0</v>
      </c>
      <c r="AG2818" s="2">
        <v>15.020300000000001</v>
      </c>
      <c r="AH2818" s="2">
        <v>27.6</v>
      </c>
      <c r="AJ2818" s="2">
        <f t="shared" ref="AJ2818:AJ2881" si="422">AI2818*T2818</f>
        <v>0</v>
      </c>
      <c r="AK2818" s="2">
        <f t="shared" si="415"/>
        <v>13.959399999999999</v>
      </c>
      <c r="AL2818" s="5">
        <f t="shared" si="419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18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1"/>
        <v>0</v>
      </c>
      <c r="AJ2819" s="2">
        <f t="shared" si="422"/>
        <v>0</v>
      </c>
      <c r="AK2819" s="2">
        <f t="shared" si="415"/>
        <v>30</v>
      </c>
      <c r="AL2819" s="5">
        <f t="shared" si="419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18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1"/>
        <v>0</v>
      </c>
      <c r="AG2820" s="2">
        <f>W2820</f>
        <v>25</v>
      </c>
      <c r="AJ2820" s="2">
        <f t="shared" si="422"/>
        <v>0</v>
      </c>
      <c r="AK2820" s="2">
        <f t="shared" si="415"/>
        <v>25</v>
      </c>
      <c r="AL2820" s="5">
        <f t="shared" si="419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18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1"/>
        <v>0</v>
      </c>
      <c r="AJ2821" s="2">
        <f t="shared" si="422"/>
        <v>0</v>
      </c>
      <c r="AK2821" s="2">
        <f t="shared" si="415"/>
        <v>242.39999999999998</v>
      </c>
      <c r="AL2821" s="5">
        <f t="shared" si="419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18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1"/>
        <v>0</v>
      </c>
      <c r="AG2822" s="2">
        <f>W2822</f>
        <v>165</v>
      </c>
      <c r="AJ2822" s="2">
        <f t="shared" si="422"/>
        <v>0</v>
      </c>
      <c r="AK2822" s="2">
        <f t="shared" si="415"/>
        <v>165</v>
      </c>
      <c r="AL2822" s="5">
        <f t="shared" si="419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18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1"/>
        <v>0</v>
      </c>
      <c r="AG2823" s="2">
        <v>136.38999999999999</v>
      </c>
      <c r="AH2823" s="2">
        <v>282.11399999999998</v>
      </c>
      <c r="AJ2823" s="2">
        <f t="shared" si="422"/>
        <v>0</v>
      </c>
      <c r="AK2823" s="2">
        <f t="shared" si="415"/>
        <v>60.320000000000022</v>
      </c>
      <c r="AL2823" s="5">
        <f t="shared" si="419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18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1"/>
        <v>0</v>
      </c>
      <c r="AG2824" s="2">
        <v>27.86</v>
      </c>
      <c r="AJ2824" s="2">
        <f t="shared" si="422"/>
        <v>0</v>
      </c>
      <c r="AK2824" s="2">
        <f t="shared" si="415"/>
        <v>30.880000000000003</v>
      </c>
      <c r="AL2824" s="5">
        <f t="shared" si="419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18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1"/>
        <v>0</v>
      </c>
      <c r="AG2825" s="2">
        <v>28.372499999999999</v>
      </c>
      <c r="AJ2825" s="2">
        <f t="shared" si="422"/>
        <v>0</v>
      </c>
      <c r="AK2825" s="2">
        <f t="shared" si="415"/>
        <v>30.37</v>
      </c>
      <c r="AL2825" s="5">
        <f t="shared" si="419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18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1"/>
        <v>0</v>
      </c>
      <c r="AG2826" s="2">
        <v>12.938599999999999</v>
      </c>
      <c r="AJ2826" s="2">
        <f t="shared" si="422"/>
        <v>0</v>
      </c>
      <c r="AK2826" s="2">
        <f t="shared" si="415"/>
        <v>13.8514</v>
      </c>
      <c r="AL2826" s="5">
        <f t="shared" si="419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18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1"/>
        <v>0</v>
      </c>
      <c r="AG2827" s="2">
        <v>11.246700000000001</v>
      </c>
      <c r="AJ2827" s="2">
        <f t="shared" si="422"/>
        <v>0</v>
      </c>
      <c r="AK2827" s="2">
        <f t="shared" si="415"/>
        <v>12.543299999999999</v>
      </c>
      <c r="AL2827" s="5">
        <f t="shared" si="419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18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1"/>
        <v>0</v>
      </c>
      <c r="AG2828" s="2">
        <v>386</v>
      </c>
      <c r="AJ2828" s="2">
        <f t="shared" si="422"/>
        <v>0</v>
      </c>
      <c r="AK2828" s="2">
        <f t="shared" si="415"/>
        <v>759.15000000000009</v>
      </c>
      <c r="AL2828" s="5">
        <f t="shared" si="419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1"/>
        <v>0</v>
      </c>
      <c r="AG2829" s="2">
        <v>11.182499999999999</v>
      </c>
      <c r="AJ2829" s="2">
        <f t="shared" si="422"/>
        <v>0</v>
      </c>
      <c r="AK2829" s="2">
        <f t="shared" si="415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1"/>
        <v>0</v>
      </c>
      <c r="AJ2830" s="2">
        <f t="shared" si="422"/>
        <v>0</v>
      </c>
      <c r="AK2830" s="2">
        <f t="shared" si="415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3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1"/>
        <v>0</v>
      </c>
      <c r="AG2831" s="2">
        <v>6.2991999999999999</v>
      </c>
      <c r="AJ2831" s="2">
        <f t="shared" si="422"/>
        <v>0</v>
      </c>
      <c r="AK2831" s="2">
        <f t="shared" si="415"/>
        <v>14.0816</v>
      </c>
      <c r="AL2831" s="5">
        <f t="shared" ref="AL2831:AL2849" si="424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3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1"/>
        <v>0</v>
      </c>
      <c r="AG2832" s="2">
        <v>6.3601999999999999</v>
      </c>
      <c r="AJ2832" s="2">
        <f t="shared" si="422"/>
        <v>0</v>
      </c>
      <c r="AK2832" s="2">
        <f t="shared" si="415"/>
        <v>7.1597999999999997</v>
      </c>
      <c r="AL2832" s="5">
        <f t="shared" si="424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5">36.2258*S2833</f>
        <v>72.451599999999999</v>
      </c>
      <c r="X2833" s="5">
        <f t="shared" si="423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1"/>
        <v>0</v>
      </c>
      <c r="AG2833" s="2">
        <v>35.931699999999999</v>
      </c>
      <c r="AJ2833" s="2">
        <f t="shared" si="422"/>
        <v>0</v>
      </c>
      <c r="AK2833" s="2">
        <f t="shared" si="415"/>
        <v>80.888400000000004</v>
      </c>
      <c r="AL2833" s="5">
        <f t="shared" si="424"/>
        <v>0.52751010825616285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5"/>
        <v>36.2258</v>
      </c>
      <c r="X2834" s="5">
        <f t="shared" si="423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1"/>
        <v>0</v>
      </c>
      <c r="AG2834" s="2">
        <v>35.931699999999999</v>
      </c>
      <c r="AJ2834" s="2">
        <f t="shared" si="422"/>
        <v>0</v>
      </c>
      <c r="AK2834" s="2">
        <f t="shared" si="415"/>
        <v>40.444200000000002</v>
      </c>
      <c r="AL2834" s="5">
        <f t="shared" si="424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3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1"/>
        <v>0</v>
      </c>
      <c r="AG2835" s="2">
        <v>34.743400000000001</v>
      </c>
      <c r="AJ2835" s="2">
        <f t="shared" si="422"/>
        <v>0</v>
      </c>
      <c r="AK2835" s="2">
        <f t="shared" si="415"/>
        <v>38.686600000000006</v>
      </c>
      <c r="AL2835" s="5">
        <f t="shared" si="424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3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1"/>
        <v>0</v>
      </c>
      <c r="AG2836" s="2">
        <v>22.2</v>
      </c>
      <c r="AJ2836" s="2">
        <f t="shared" si="422"/>
        <v>0</v>
      </c>
      <c r="AK2836" s="2">
        <f t="shared" ref="AK2836:AK2849" si="426">T2836-W2836</f>
        <v>51.816000000000003</v>
      </c>
      <c r="AL2836" s="5">
        <f t="shared" si="424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3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1"/>
        <v>0</v>
      </c>
      <c r="AG2837" s="2">
        <v>22.2</v>
      </c>
      <c r="AJ2837" s="2">
        <f t="shared" si="422"/>
        <v>0</v>
      </c>
      <c r="AK2837" s="2">
        <f t="shared" si="426"/>
        <v>51.816000000000003</v>
      </c>
      <c r="AL2837" s="5">
        <f t="shared" si="424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3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1"/>
        <v>0</v>
      </c>
      <c r="AG2838" s="2">
        <v>102.39</v>
      </c>
      <c r="AJ2838" s="2">
        <f t="shared" si="422"/>
        <v>0</v>
      </c>
      <c r="AK2838" s="2">
        <f t="shared" si="426"/>
        <v>113.55</v>
      </c>
      <c r="AL2838" s="5">
        <f t="shared" si="424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3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1"/>
        <v>0</v>
      </c>
      <c r="AG2839" s="2">
        <v>30.22</v>
      </c>
      <c r="AJ2839" s="2">
        <f t="shared" si="422"/>
        <v>0</v>
      </c>
      <c r="AK2839" s="2">
        <f t="shared" si="426"/>
        <v>32.85</v>
      </c>
      <c r="AL2839" s="5">
        <f t="shared" si="424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3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1"/>
        <v>0</v>
      </c>
      <c r="AG2840" s="2">
        <v>342.22</v>
      </c>
      <c r="AJ2840" s="2">
        <f t="shared" si="422"/>
        <v>0</v>
      </c>
      <c r="AK2840" s="2">
        <f t="shared" si="426"/>
        <v>354.09659999999997</v>
      </c>
      <c r="AL2840" s="5">
        <f t="shared" si="424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3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1"/>
        <v>0</v>
      </c>
      <c r="AG2841" s="2">
        <v>342.22</v>
      </c>
      <c r="AJ2841" s="2">
        <f t="shared" si="422"/>
        <v>0</v>
      </c>
      <c r="AK2841" s="2">
        <f t="shared" si="426"/>
        <v>354.09659999999997</v>
      </c>
      <c r="AL2841" s="5">
        <f t="shared" si="424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3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1"/>
        <v>0</v>
      </c>
      <c r="AG2842" s="2">
        <v>343.38569999999999</v>
      </c>
      <c r="AJ2842" s="2">
        <f t="shared" si="422"/>
        <v>0</v>
      </c>
      <c r="AK2842" s="2">
        <f t="shared" si="426"/>
        <v>355.72999999999996</v>
      </c>
      <c r="AL2842" s="5">
        <f t="shared" si="424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3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1"/>
        <v>0</v>
      </c>
      <c r="AG2843" s="2">
        <v>21.6</v>
      </c>
      <c r="AJ2843" s="2">
        <f t="shared" si="422"/>
        <v>0</v>
      </c>
      <c r="AK2843" s="2">
        <f t="shared" si="426"/>
        <v>20.36</v>
      </c>
      <c r="AL2843" s="5">
        <f t="shared" si="424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3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1"/>
        <v>0</v>
      </c>
      <c r="AG2844" s="2">
        <v>565.755</v>
      </c>
      <c r="AJ2844" s="2">
        <f t="shared" si="422"/>
        <v>0</v>
      </c>
      <c r="AK2844" s="2">
        <f t="shared" si="426"/>
        <v>2069.8145000000004</v>
      </c>
      <c r="AL2844" s="5">
        <f t="shared" si="424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3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1"/>
        <v>0</v>
      </c>
      <c r="AG2845" s="2">
        <v>255.65</v>
      </c>
      <c r="AJ2845" s="2">
        <f t="shared" si="422"/>
        <v>0</v>
      </c>
      <c r="AK2845" s="2">
        <f t="shared" si="426"/>
        <v>283.52</v>
      </c>
      <c r="AL2845" s="5">
        <f t="shared" si="424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3"/>
        <v>1</v>
      </c>
      <c r="Z2846" s="2" t="s">
        <v>117</v>
      </c>
      <c r="AF2846" s="2">
        <f t="shared" si="421"/>
        <v>0</v>
      </c>
      <c r="AJ2846" s="2">
        <f t="shared" si="422"/>
        <v>0</v>
      </c>
      <c r="AK2846" s="2">
        <f t="shared" si="426"/>
        <v>79.819999999999993</v>
      </c>
      <c r="AL2846" s="5">
        <f t="shared" si="424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3"/>
        <v>1</v>
      </c>
      <c r="Z2847" s="2" t="s">
        <v>117</v>
      </c>
      <c r="AF2847" s="2">
        <f t="shared" si="421"/>
        <v>0</v>
      </c>
      <c r="AJ2847" s="2">
        <f t="shared" si="422"/>
        <v>0</v>
      </c>
      <c r="AK2847" s="2">
        <f t="shared" si="426"/>
        <v>422.5</v>
      </c>
      <c r="AL2847" s="5">
        <f t="shared" si="424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3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1"/>
        <v>0</v>
      </c>
      <c r="AG2848" s="2">
        <v>343.38</v>
      </c>
      <c r="AH2848" s="2">
        <v>986.58</v>
      </c>
      <c r="AJ2848" s="2">
        <f t="shared" si="422"/>
        <v>0</v>
      </c>
      <c r="AK2848" s="2">
        <f t="shared" si="426"/>
        <v>248.57000000000005</v>
      </c>
      <c r="AL2848" s="5">
        <f t="shared" si="424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3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1"/>
        <v>0</v>
      </c>
      <c r="AG2849" s="2">
        <v>343.38</v>
      </c>
      <c r="AH2849" s="2">
        <v>986.58</v>
      </c>
      <c r="AJ2849" s="2">
        <f t="shared" si="422"/>
        <v>0</v>
      </c>
      <c r="AK2849" s="2">
        <f t="shared" si="426"/>
        <v>347.23</v>
      </c>
      <c r="AL2849" s="5">
        <f t="shared" si="424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1"/>
        <v>0</v>
      </c>
      <c r="AG2850" s="2">
        <v>343.38</v>
      </c>
      <c r="AH2850" s="2">
        <v>986.58</v>
      </c>
      <c r="AJ2850" s="2">
        <f t="shared" si="422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427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1"/>
        <v>0</v>
      </c>
      <c r="AJ2851" s="2">
        <f t="shared" si="422"/>
        <v>0</v>
      </c>
      <c r="AK2851" s="2">
        <f t="shared" ref="AK2851:AK2882" si="428">T2851-W2851</f>
        <v>1601.8500000000001</v>
      </c>
      <c r="AL2851" s="5">
        <f t="shared" ref="AL2851:AL2882" si="429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7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1"/>
        <v>0</v>
      </c>
      <c r="AJ2852" s="2">
        <f t="shared" si="422"/>
        <v>0</v>
      </c>
      <c r="AK2852" s="2">
        <f t="shared" si="428"/>
        <v>558.98</v>
      </c>
      <c r="AL2852" s="5">
        <f t="shared" si="429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7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1"/>
        <v>0</v>
      </c>
      <c r="AG2853" s="2">
        <v>7437.5950000000003</v>
      </c>
      <c r="AJ2853" s="2">
        <f t="shared" si="422"/>
        <v>0</v>
      </c>
      <c r="AK2853" s="2">
        <f t="shared" si="428"/>
        <v>692.48499999999967</v>
      </c>
      <c r="AL2853" s="5">
        <f t="shared" si="429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7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1"/>
        <v>0</v>
      </c>
      <c r="AJ2854" s="2">
        <f t="shared" si="422"/>
        <v>0</v>
      </c>
      <c r="AK2854" s="2">
        <f t="shared" si="428"/>
        <v>4400.1200000000008</v>
      </c>
      <c r="AL2854" s="5">
        <f t="shared" si="429"/>
        <v>0.31451894210150111</v>
      </c>
    </row>
    <row r="2855" spans="1:38" x14ac:dyDescent="0.2">
      <c r="A2855" s="2">
        <v>2026</v>
      </c>
      <c r="B2855" s="2">
        <v>1</v>
      </c>
      <c r="C2855" s="2" t="s">
        <v>3326</v>
      </c>
      <c r="D2855" s="2" t="s">
        <v>3327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7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1"/>
        <v>0</v>
      </c>
      <c r="AG2855" s="2">
        <v>10669.4</v>
      </c>
      <c r="AJ2855" s="2">
        <f t="shared" si="422"/>
        <v>0</v>
      </c>
      <c r="AK2855" s="2">
        <f t="shared" si="428"/>
        <v>3336.2000000000007</v>
      </c>
      <c r="AL2855" s="5">
        <f t="shared" si="429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7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1"/>
        <v>0</v>
      </c>
      <c r="AG2856" s="2">
        <v>6468.73</v>
      </c>
      <c r="AJ2856" s="2">
        <f t="shared" si="422"/>
        <v>0</v>
      </c>
      <c r="AK2856" s="2">
        <f t="shared" si="428"/>
        <v>1531.2700000000004</v>
      </c>
      <c r="AL2856" s="5">
        <f t="shared" si="429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427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1"/>
        <v>0</v>
      </c>
      <c r="AG2857" s="2">
        <f>6193.4+275.33</f>
        <v>6468.73</v>
      </c>
      <c r="AJ2857" s="2">
        <f t="shared" si="422"/>
        <v>0</v>
      </c>
      <c r="AK2857" s="2">
        <f t="shared" si="428"/>
        <v>2461.2700000000004</v>
      </c>
      <c r="AL2857" s="5">
        <f t="shared" si="429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427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421"/>
        <v>0</v>
      </c>
      <c r="AG2858" s="2">
        <f>6193.4+275.33</f>
        <v>6468.73</v>
      </c>
      <c r="AJ2858" s="2">
        <f t="shared" si="422"/>
        <v>0</v>
      </c>
      <c r="AK2858" s="2">
        <f t="shared" si="428"/>
        <v>3031.2700000000004</v>
      </c>
      <c r="AL2858" s="5">
        <f t="shared" si="429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3300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427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421"/>
        <v>0</v>
      </c>
      <c r="AG2859" s="2">
        <v>203</v>
      </c>
      <c r="AJ2859" s="2">
        <f t="shared" si="422"/>
        <v>0</v>
      </c>
      <c r="AK2859" s="2">
        <f t="shared" si="428"/>
        <v>897</v>
      </c>
      <c r="AL2859" s="5">
        <f t="shared" si="429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427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421"/>
        <v>0</v>
      </c>
      <c r="AG2860" s="2">
        <v>374.15</v>
      </c>
      <c r="AH2860" s="2">
        <v>662.51</v>
      </c>
      <c r="AJ2860" s="2">
        <f t="shared" si="422"/>
        <v>0</v>
      </c>
      <c r="AK2860" s="2">
        <f t="shared" si="428"/>
        <v>215.85000000000002</v>
      </c>
      <c r="AL2860" s="5">
        <f t="shared" si="429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427"/>
        <v>0.4499999999999999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1"/>
        <v>0</v>
      </c>
      <c r="AG2861" s="2">
        <v>27.445</v>
      </c>
      <c r="AJ2861" s="2">
        <f t="shared" si="422"/>
        <v>0</v>
      </c>
      <c r="AK2861" s="2">
        <f t="shared" si="428"/>
        <v>67.364999999999981</v>
      </c>
      <c r="AL2861" s="5">
        <f t="shared" si="429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427"/>
        <v>0.45833333333333331</v>
      </c>
      <c r="Z2862" s="2" t="s">
        <v>3226</v>
      </c>
      <c r="AA2862" s="2" t="s">
        <v>71</v>
      </c>
      <c r="AB2862" s="2" t="s">
        <v>1600</v>
      </c>
      <c r="AC2862" s="2" t="s">
        <v>1600</v>
      </c>
      <c r="AF2862" s="2">
        <f t="shared" si="421"/>
        <v>0</v>
      </c>
      <c r="AG2862" s="2">
        <v>6.5</v>
      </c>
      <c r="AH2862" s="2">
        <v>10</v>
      </c>
      <c r="AJ2862" s="2">
        <f t="shared" si="422"/>
        <v>0</v>
      </c>
      <c r="AK2862" s="2">
        <f t="shared" si="428"/>
        <v>5.5</v>
      </c>
      <c r="AL2862" s="5">
        <f t="shared" si="429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427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421"/>
        <v>0</v>
      </c>
      <c r="AG2863" s="2">
        <v>297</v>
      </c>
      <c r="AH2863" s="2">
        <v>595</v>
      </c>
      <c r="AJ2863" s="2">
        <f t="shared" si="422"/>
        <v>0</v>
      </c>
      <c r="AK2863" s="2">
        <f t="shared" si="428"/>
        <v>298</v>
      </c>
      <c r="AL2863" s="5">
        <f t="shared" si="429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427"/>
        <v>0.274505</v>
      </c>
      <c r="Z2864" s="2" t="s">
        <v>3226</v>
      </c>
      <c r="AA2864" s="2" t="s">
        <v>46</v>
      </c>
      <c r="AB2864" s="2" t="s">
        <v>60</v>
      </c>
      <c r="AC2864" s="2" t="s">
        <v>3331</v>
      </c>
      <c r="AF2864" s="2">
        <f t="shared" si="421"/>
        <v>0</v>
      </c>
      <c r="AJ2864" s="2">
        <f t="shared" si="422"/>
        <v>0</v>
      </c>
      <c r="AK2864" s="2">
        <f t="shared" si="428"/>
        <v>21.9604</v>
      </c>
      <c r="AL2864" s="5">
        <f t="shared" si="429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7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3331</v>
      </c>
      <c r="AF2865" s="2">
        <f t="shared" si="421"/>
        <v>0</v>
      </c>
      <c r="AJ2865" s="2">
        <f t="shared" si="422"/>
        <v>0</v>
      </c>
      <c r="AK2865" s="2">
        <f t="shared" si="428"/>
        <v>109.80200000000002</v>
      </c>
      <c r="AL2865" s="5">
        <f t="shared" si="429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7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3331</v>
      </c>
      <c r="AF2866" s="2">
        <f t="shared" si="421"/>
        <v>0</v>
      </c>
      <c r="AJ2866" s="2">
        <f t="shared" si="422"/>
        <v>0</v>
      </c>
      <c r="AK2866" s="2">
        <f t="shared" si="428"/>
        <v>109.80200000000002</v>
      </c>
      <c r="AL2866" s="5">
        <f t="shared" si="429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427"/>
        <v>0.27450500000000005</v>
      </c>
      <c r="Z2867" s="2" t="s">
        <v>3226</v>
      </c>
      <c r="AA2867" s="2" t="s">
        <v>46</v>
      </c>
      <c r="AB2867" s="2" t="s">
        <v>60</v>
      </c>
      <c r="AC2867" s="2" t="s">
        <v>3331</v>
      </c>
      <c r="AF2867" s="2">
        <f t="shared" si="421"/>
        <v>0</v>
      </c>
      <c r="AJ2867" s="2">
        <f t="shared" si="422"/>
        <v>0</v>
      </c>
      <c r="AK2867" s="2">
        <f t="shared" si="428"/>
        <v>109.80200000000002</v>
      </c>
      <c r="AL2867" s="5">
        <f t="shared" si="429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427"/>
        <v>0.42321428571428571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1"/>
        <v>0</v>
      </c>
      <c r="AG2868" s="2">
        <v>14.535</v>
      </c>
      <c r="AH2868" s="2">
        <v>25.2</v>
      </c>
      <c r="AJ2868" s="2">
        <f t="shared" si="422"/>
        <v>0</v>
      </c>
      <c r="AK2868" s="2">
        <f t="shared" si="428"/>
        <v>10.664999999999999</v>
      </c>
      <c r="AL2868" s="5">
        <f t="shared" si="429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427"/>
        <v>0.4623655913978495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1"/>
        <v>0</v>
      </c>
      <c r="AG2869" s="2">
        <v>10</v>
      </c>
      <c r="AH2869" s="2">
        <v>21</v>
      </c>
      <c r="AJ2869" s="2">
        <f t="shared" si="422"/>
        <v>0</v>
      </c>
      <c r="AK2869" s="2">
        <f t="shared" si="428"/>
        <v>8.6000000000000014</v>
      </c>
      <c r="AL2869" s="5">
        <f t="shared" si="429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427"/>
        <v>-0.32857142857142868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1"/>
        <v>0</v>
      </c>
      <c r="AG2870" s="2">
        <v>9.3000000000000007</v>
      </c>
      <c r="AH2870" s="2">
        <v>21</v>
      </c>
      <c r="AJ2870" s="2">
        <f t="shared" si="422"/>
        <v>0</v>
      </c>
      <c r="AK2870" s="2">
        <f t="shared" si="428"/>
        <v>-2.3000000000000007</v>
      </c>
      <c r="AL2870" s="5">
        <f t="shared" si="429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427"/>
        <v>0.5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1"/>
        <v>0</v>
      </c>
      <c r="AG2871" s="2">
        <v>9.3000000000000007</v>
      </c>
      <c r="AH2871" s="2">
        <v>21</v>
      </c>
      <c r="AJ2871" s="2">
        <f t="shared" si="422"/>
        <v>0</v>
      </c>
      <c r="AK2871" s="2">
        <f t="shared" si="428"/>
        <v>9.3000000000000007</v>
      </c>
      <c r="AL2871" s="5">
        <f t="shared" si="429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427"/>
        <v>0.44777500000000003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1"/>
        <v>0</v>
      </c>
      <c r="AG2872" s="2">
        <v>6.6266999999999996</v>
      </c>
      <c r="AH2872" s="2">
        <v>12</v>
      </c>
      <c r="AJ2872" s="2">
        <f t="shared" si="422"/>
        <v>0</v>
      </c>
      <c r="AK2872" s="2">
        <f t="shared" si="428"/>
        <v>5.3733000000000004</v>
      </c>
      <c r="AL2872" s="5">
        <f t="shared" si="429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427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1"/>
        <v>0</v>
      </c>
      <c r="AG2873" s="2">
        <v>6.6266999999999996</v>
      </c>
      <c r="AH2873" s="2">
        <v>12</v>
      </c>
      <c r="AJ2873" s="2">
        <f t="shared" si="422"/>
        <v>0</v>
      </c>
      <c r="AK2873" s="2">
        <f t="shared" si="428"/>
        <v>25.493200000000002</v>
      </c>
      <c r="AL2873" s="5">
        <f t="shared" si="429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427"/>
        <v>0.49025384615384621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1"/>
        <v>0</v>
      </c>
      <c r="AG2874" s="2">
        <v>6.6266999999999996</v>
      </c>
      <c r="AH2874" s="2">
        <v>12</v>
      </c>
      <c r="AJ2874" s="2">
        <f t="shared" si="422"/>
        <v>0</v>
      </c>
      <c r="AK2874" s="2">
        <f t="shared" si="428"/>
        <v>12.746600000000001</v>
      </c>
      <c r="AL2874" s="5">
        <f t="shared" si="429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427"/>
        <v>0.6542553191489362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1"/>
        <v>0</v>
      </c>
      <c r="AJ2875" s="2">
        <f t="shared" si="422"/>
        <v>0</v>
      </c>
      <c r="AK2875" s="2">
        <f t="shared" si="428"/>
        <v>36.9</v>
      </c>
      <c r="AL2875" s="5">
        <f t="shared" si="429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427"/>
        <v>0.62349999999999994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1"/>
        <v>0</v>
      </c>
      <c r="AJ2876" s="2">
        <f t="shared" si="422"/>
        <v>0</v>
      </c>
      <c r="AK2876" s="2">
        <f t="shared" si="428"/>
        <v>37.409999999999997</v>
      </c>
      <c r="AL2876" s="5">
        <f t="shared" si="429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427"/>
        <v>0.16982222222222226</v>
      </c>
      <c r="Z2877" s="2" t="s">
        <v>3226</v>
      </c>
      <c r="AA2877" s="2" t="s">
        <v>46</v>
      </c>
      <c r="AB2877" s="2" t="s">
        <v>47</v>
      </c>
      <c r="AC2877" s="2" t="s">
        <v>57</v>
      </c>
      <c r="AF2877" s="2">
        <f t="shared" si="421"/>
        <v>0</v>
      </c>
      <c r="AG2877" s="2">
        <v>3.7357999999999998</v>
      </c>
      <c r="AH2877" s="2">
        <v>9</v>
      </c>
      <c r="AJ2877" s="2">
        <f t="shared" si="422"/>
        <v>0</v>
      </c>
      <c r="AK2877" s="2">
        <f t="shared" si="428"/>
        <v>0.76420000000000021</v>
      </c>
      <c r="AL2877" s="5">
        <f t="shared" si="429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427"/>
        <v>0.42327586206896545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1"/>
        <v>0</v>
      </c>
      <c r="AJ2878" s="2">
        <f t="shared" si="422"/>
        <v>0</v>
      </c>
      <c r="AK2878" s="2">
        <f t="shared" si="428"/>
        <v>7.3649999999999984</v>
      </c>
      <c r="AL2878" s="5">
        <f t="shared" si="429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427"/>
        <v>0.40745714285714285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1"/>
        <v>0</v>
      </c>
      <c r="AJ2879" s="2">
        <f t="shared" si="422"/>
        <v>0</v>
      </c>
      <c r="AK2879" s="2">
        <f t="shared" si="428"/>
        <v>8.5565999999999995</v>
      </c>
      <c r="AL2879" s="5">
        <f t="shared" si="429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427"/>
        <v>0.44958333333333328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1"/>
        <v>0</v>
      </c>
      <c r="AJ2880" s="2">
        <f t="shared" si="422"/>
        <v>0</v>
      </c>
      <c r="AK2880" s="2">
        <f t="shared" si="428"/>
        <v>5.3949999999999996</v>
      </c>
      <c r="AL2880" s="5">
        <f t="shared" si="429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427"/>
        <v>0.53121428571428575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si="421"/>
        <v>0</v>
      </c>
      <c r="AG2881" s="2">
        <v>5.9066999999999998</v>
      </c>
      <c r="AH2881" s="2">
        <v>12.6</v>
      </c>
      <c r="AJ2881" s="2">
        <f t="shared" si="422"/>
        <v>0</v>
      </c>
      <c r="AK2881" s="2">
        <f t="shared" si="428"/>
        <v>13.3866</v>
      </c>
      <c r="AL2881" s="5">
        <f t="shared" si="429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427"/>
        <v>0.47912698412698418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ref="AF2882:AF2945" si="430">AJ2882</f>
        <v>0</v>
      </c>
      <c r="AG2882" s="2">
        <v>5.9066999999999998</v>
      </c>
      <c r="AH2882" s="2">
        <v>12.6</v>
      </c>
      <c r="AJ2882" s="2">
        <f t="shared" ref="AJ2882:AJ2945" si="431">AI2882*T2882</f>
        <v>0</v>
      </c>
      <c r="AK2882" s="2">
        <f t="shared" si="428"/>
        <v>27.166500000000003</v>
      </c>
      <c r="AL2882" s="5">
        <f t="shared" si="429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432">(T2883-W2883)/T2883</f>
        <v>0.53121428571428575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0"/>
        <v>0</v>
      </c>
      <c r="AG2883" s="2">
        <v>5.9066999999999998</v>
      </c>
      <c r="AH2883" s="2">
        <v>12.6</v>
      </c>
      <c r="AJ2883" s="2">
        <f t="shared" si="431"/>
        <v>0</v>
      </c>
      <c r="AK2883" s="2">
        <f t="shared" ref="AK2883:AK2914" si="433">T2883-W2883</f>
        <v>13.3866</v>
      </c>
      <c r="AL2883" s="5">
        <f t="shared" ref="AL2883:AL2914" si="434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2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0"/>
        <v>0</v>
      </c>
      <c r="AG2884" s="2">
        <v>7.2217000000000002</v>
      </c>
      <c r="AH2884" s="2">
        <v>14.4</v>
      </c>
      <c r="AJ2884" s="2">
        <f t="shared" si="431"/>
        <v>0</v>
      </c>
      <c r="AK2884" s="2">
        <f t="shared" si="433"/>
        <v>14.3566</v>
      </c>
      <c r="AL2884" s="5">
        <f t="shared" si="434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432"/>
        <v>0.49849305555555556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0"/>
        <v>0</v>
      </c>
      <c r="AG2885" s="2">
        <v>7.2217000000000002</v>
      </c>
      <c r="AH2885" s="2">
        <v>14.4</v>
      </c>
      <c r="AJ2885" s="2">
        <f t="shared" si="431"/>
        <v>0</v>
      </c>
      <c r="AK2885" s="2">
        <f t="shared" si="433"/>
        <v>14.3566</v>
      </c>
      <c r="AL2885" s="5">
        <f t="shared" si="434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432"/>
        <v>0.47844827586206895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0"/>
        <v>0</v>
      </c>
      <c r="AJ2886" s="2">
        <f t="shared" si="431"/>
        <v>0</v>
      </c>
      <c r="AK2886" s="2">
        <f t="shared" si="433"/>
        <v>16.649999999999999</v>
      </c>
      <c r="AL2886" s="5">
        <f t="shared" si="434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432"/>
        <v>0.48554421768707484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0"/>
        <v>0</v>
      </c>
      <c r="AG2887" s="2">
        <v>9.0749999999999993</v>
      </c>
      <c r="AJ2887" s="2">
        <f t="shared" si="431"/>
        <v>0</v>
      </c>
      <c r="AK2887" s="2">
        <f t="shared" si="433"/>
        <v>85.65</v>
      </c>
      <c r="AL2887" s="5">
        <f t="shared" si="434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432"/>
        <v>0.47844827586206895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0"/>
        <v>0</v>
      </c>
      <c r="AJ2888" s="2">
        <f t="shared" si="431"/>
        <v>0</v>
      </c>
      <c r="AK2888" s="2">
        <f t="shared" si="433"/>
        <v>16.649999999999999</v>
      </c>
      <c r="AL2888" s="5">
        <f t="shared" si="434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35">11.045*S2889</f>
        <v>22.09</v>
      </c>
      <c r="X2889" s="5">
        <f t="shared" si="432"/>
        <v>0.47404761904761905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0"/>
        <v>0</v>
      </c>
      <c r="AJ2889" s="2">
        <f t="shared" si="431"/>
        <v>0</v>
      </c>
      <c r="AK2889" s="2">
        <f t="shared" si="433"/>
        <v>19.91</v>
      </c>
      <c r="AL2889" s="5">
        <f t="shared" si="434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35"/>
        <v>44.18</v>
      </c>
      <c r="X2890" s="5">
        <f t="shared" si="432"/>
        <v>0.48580074487895719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0"/>
        <v>0</v>
      </c>
      <c r="AG2890" s="2">
        <v>11.045</v>
      </c>
      <c r="AJ2890" s="2">
        <f t="shared" si="431"/>
        <v>0</v>
      </c>
      <c r="AK2890" s="2">
        <f t="shared" si="433"/>
        <v>41.74</v>
      </c>
      <c r="AL2890" s="5">
        <f t="shared" si="434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35"/>
        <v>11.045</v>
      </c>
      <c r="X2891" s="5">
        <f t="shared" si="432"/>
        <v>0.47404761904761905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0"/>
        <v>0</v>
      </c>
      <c r="AJ2891" s="2">
        <f t="shared" si="431"/>
        <v>0</v>
      </c>
      <c r="AK2891" s="2">
        <f t="shared" si="433"/>
        <v>9.9550000000000001</v>
      </c>
      <c r="AL2891" s="5">
        <f t="shared" si="434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432"/>
        <v>0.4679880952380952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0"/>
        <v>0</v>
      </c>
      <c r="AJ2892" s="2">
        <f t="shared" si="431"/>
        <v>0</v>
      </c>
      <c r="AK2892" s="2">
        <f t="shared" si="433"/>
        <v>23.586599999999997</v>
      </c>
      <c r="AL2892" s="5">
        <f t="shared" si="434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432"/>
        <v>0.45916999999999997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0"/>
        <v>0</v>
      </c>
      <c r="AJ2893" s="2">
        <f t="shared" si="431"/>
        <v>0</v>
      </c>
      <c r="AK2893" s="2">
        <f t="shared" si="433"/>
        <v>27.550199999999997</v>
      </c>
      <c r="AL2893" s="5">
        <f t="shared" si="434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36">10.6*S2894</f>
        <v>127.19999999999999</v>
      </c>
      <c r="X2894" s="5">
        <f t="shared" si="432"/>
        <v>9.7872340425532001E-2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0"/>
        <v>0</v>
      </c>
      <c r="AG2894" s="2">
        <v>10.6</v>
      </c>
      <c r="AH2894" s="2">
        <v>18</v>
      </c>
      <c r="AJ2894" s="2">
        <f t="shared" si="431"/>
        <v>0</v>
      </c>
      <c r="AK2894" s="2">
        <f t="shared" si="433"/>
        <v>13.800000000000011</v>
      </c>
      <c r="AL2894" s="5">
        <f t="shared" si="434"/>
        <v>9.7872340425532001E-2</v>
      </c>
    </row>
    <row r="2895" spans="1:38" x14ac:dyDescent="0.2">
      <c r="A2895" s="2">
        <v>2026</v>
      </c>
      <c r="B2895" s="2">
        <v>1</v>
      </c>
      <c r="C2895" s="2" t="s">
        <v>3473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6"/>
        <v>21.2</v>
      </c>
      <c r="X2895" s="5">
        <f t="shared" si="432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0"/>
        <v>0</v>
      </c>
      <c r="AG2895" s="2">
        <v>10.6</v>
      </c>
      <c r="AH2895" s="2">
        <v>18</v>
      </c>
      <c r="AJ2895" s="2">
        <f t="shared" si="431"/>
        <v>0</v>
      </c>
      <c r="AK2895" s="2">
        <f t="shared" si="433"/>
        <v>14.8</v>
      </c>
      <c r="AL2895" s="5">
        <f t="shared" si="434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6"/>
        <v>21.2</v>
      </c>
      <c r="X2896" s="5">
        <f t="shared" si="432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0"/>
        <v>0</v>
      </c>
      <c r="AG2896" s="2">
        <v>10.6</v>
      </c>
      <c r="AH2896" s="2">
        <v>18</v>
      </c>
      <c r="AJ2896" s="2">
        <f t="shared" si="431"/>
        <v>0</v>
      </c>
      <c r="AK2896" s="2">
        <f t="shared" si="433"/>
        <v>14.8</v>
      </c>
      <c r="AL2896" s="5">
        <f t="shared" si="434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36"/>
        <v>21.2</v>
      </c>
      <c r="X2897" s="5">
        <f t="shared" si="432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0"/>
        <v>0</v>
      </c>
      <c r="AG2897" s="2">
        <v>10.6</v>
      </c>
      <c r="AH2897" s="2">
        <v>18</v>
      </c>
      <c r="AJ2897" s="2">
        <f t="shared" si="431"/>
        <v>0</v>
      </c>
      <c r="AK2897" s="2">
        <f t="shared" si="433"/>
        <v>14.8</v>
      </c>
      <c r="AL2897" s="5">
        <f t="shared" si="434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36"/>
        <v>31.799999999999997</v>
      </c>
      <c r="X2898" s="5">
        <f t="shared" si="432"/>
        <v>0.41111111111111115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0"/>
        <v>0</v>
      </c>
      <c r="AG2898" s="2">
        <v>10.6</v>
      </c>
      <c r="AH2898" s="2">
        <v>18</v>
      </c>
      <c r="AJ2898" s="2">
        <f t="shared" si="431"/>
        <v>0</v>
      </c>
      <c r="AK2898" s="2">
        <f t="shared" si="433"/>
        <v>22.200000000000003</v>
      </c>
      <c r="AL2898" s="5">
        <f t="shared" si="434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36"/>
        <v>53</v>
      </c>
      <c r="X2899" s="5">
        <f t="shared" si="432"/>
        <v>0.41111111111111109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0"/>
        <v>0</v>
      </c>
      <c r="AG2899" s="2">
        <v>10.6</v>
      </c>
      <c r="AH2899" s="2">
        <v>18</v>
      </c>
      <c r="AJ2899" s="2">
        <f t="shared" si="431"/>
        <v>0</v>
      </c>
      <c r="AK2899" s="2">
        <f t="shared" si="433"/>
        <v>37</v>
      </c>
      <c r="AL2899" s="5">
        <f t="shared" si="434"/>
        <v>0.41111111111111109</v>
      </c>
    </row>
    <row r="2900" spans="1:38" x14ac:dyDescent="0.2">
      <c r="A2900" s="2">
        <v>2026</v>
      </c>
      <c r="B2900" s="2">
        <v>1</v>
      </c>
      <c r="C2900" s="2" t="s">
        <v>3326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36"/>
        <v>42.4</v>
      </c>
      <c r="X2900" s="5">
        <f t="shared" si="432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0"/>
        <v>0</v>
      </c>
      <c r="AG2900" s="2">
        <v>10.6</v>
      </c>
      <c r="AH2900" s="2">
        <v>18</v>
      </c>
      <c r="AJ2900" s="2">
        <f t="shared" si="431"/>
        <v>0</v>
      </c>
      <c r="AK2900" s="2">
        <f t="shared" si="433"/>
        <v>29.6</v>
      </c>
      <c r="AL2900" s="5">
        <f t="shared" si="434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6"/>
        <v>10.6</v>
      </c>
      <c r="X2901" s="5">
        <f t="shared" si="432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0"/>
        <v>0</v>
      </c>
      <c r="AG2901" s="2">
        <v>10.6</v>
      </c>
      <c r="AH2901" s="2">
        <v>18</v>
      </c>
      <c r="AJ2901" s="2">
        <f t="shared" si="431"/>
        <v>0</v>
      </c>
      <c r="AK2901" s="2">
        <f t="shared" si="433"/>
        <v>7.4</v>
      </c>
      <c r="AL2901" s="5">
        <f t="shared" si="434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36"/>
        <v>10.6</v>
      </c>
      <c r="X2902" s="5">
        <f t="shared" si="432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0"/>
        <v>0</v>
      </c>
      <c r="AG2902" s="2">
        <v>10.6</v>
      </c>
      <c r="AH2902" s="2">
        <v>18</v>
      </c>
      <c r="AJ2902" s="2">
        <f t="shared" si="431"/>
        <v>0</v>
      </c>
      <c r="AK2902" s="2">
        <f t="shared" si="433"/>
        <v>7.4</v>
      </c>
      <c r="AL2902" s="5">
        <f t="shared" si="434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36"/>
        <v>21.2</v>
      </c>
      <c r="X2903" s="5">
        <f t="shared" si="432"/>
        <v>0.41111111111111115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0"/>
        <v>0</v>
      </c>
      <c r="AG2903" s="2">
        <v>10.6</v>
      </c>
      <c r="AH2903" s="2">
        <v>18</v>
      </c>
      <c r="AJ2903" s="2">
        <f t="shared" si="431"/>
        <v>0</v>
      </c>
      <c r="AK2903" s="2">
        <f t="shared" si="433"/>
        <v>14.8</v>
      </c>
      <c r="AL2903" s="5">
        <f t="shared" si="434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36"/>
        <v>106</v>
      </c>
      <c r="X2904" s="5">
        <f t="shared" si="432"/>
        <v>0.29333333333333333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0"/>
        <v>0</v>
      </c>
      <c r="AG2904" s="2">
        <v>10.6</v>
      </c>
      <c r="AH2904" s="2">
        <v>18</v>
      </c>
      <c r="AJ2904" s="2">
        <f t="shared" si="431"/>
        <v>0</v>
      </c>
      <c r="AK2904" s="2">
        <f t="shared" si="433"/>
        <v>44</v>
      </c>
      <c r="AL2904" s="5">
        <f t="shared" si="434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3216</v>
      </c>
      <c r="J2905" s="2" t="s">
        <v>3215</v>
      </c>
      <c r="K2905" s="2">
        <v>913814877</v>
      </c>
      <c r="L2905" s="2" t="s">
        <v>201</v>
      </c>
      <c r="M2905" s="2" t="s">
        <v>80</v>
      </c>
      <c r="O2905" s="2" t="s">
        <v>3210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36"/>
        <v>31.799999999999997</v>
      </c>
      <c r="X2905" s="5">
        <f t="shared" si="432"/>
        <v>0.41111111111111115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0"/>
        <v>0</v>
      </c>
      <c r="AG2905" s="2">
        <v>10.6</v>
      </c>
      <c r="AH2905" s="2">
        <v>18</v>
      </c>
      <c r="AJ2905" s="2">
        <f t="shared" si="431"/>
        <v>0</v>
      </c>
      <c r="AK2905" s="2">
        <f t="shared" si="433"/>
        <v>22.200000000000003</v>
      </c>
      <c r="AL2905" s="5">
        <f t="shared" si="434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36"/>
        <v>212</v>
      </c>
      <c r="X2906" s="5">
        <f t="shared" si="432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0"/>
        <v>0</v>
      </c>
      <c r="AG2906" s="2">
        <v>10.6</v>
      </c>
      <c r="AH2906" s="2">
        <v>18</v>
      </c>
      <c r="AJ2906" s="2">
        <f t="shared" si="431"/>
        <v>0</v>
      </c>
      <c r="AK2906" s="2">
        <f t="shared" si="433"/>
        <v>68</v>
      </c>
      <c r="AL2906" s="5">
        <f t="shared" si="434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36"/>
        <v>106</v>
      </c>
      <c r="X2907" s="5">
        <f t="shared" si="432"/>
        <v>0.24285714285714285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0"/>
        <v>0</v>
      </c>
      <c r="AG2907" s="2">
        <v>10.6</v>
      </c>
      <c r="AH2907" s="2">
        <v>18</v>
      </c>
      <c r="AJ2907" s="2">
        <f t="shared" si="431"/>
        <v>0</v>
      </c>
      <c r="AK2907" s="2">
        <f t="shared" si="433"/>
        <v>34</v>
      </c>
      <c r="AL2907" s="5">
        <f t="shared" si="434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36"/>
        <v>42.4</v>
      </c>
      <c r="X2908" s="5">
        <f t="shared" si="432"/>
        <v>0.37647058823529411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0"/>
        <v>0</v>
      </c>
      <c r="AG2908" s="2">
        <v>10.6</v>
      </c>
      <c r="AH2908" s="2">
        <v>18</v>
      </c>
      <c r="AJ2908" s="2">
        <f t="shared" si="431"/>
        <v>0</v>
      </c>
      <c r="AK2908" s="2">
        <f t="shared" si="433"/>
        <v>25.6</v>
      </c>
      <c r="AL2908" s="5">
        <f t="shared" si="434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6"/>
        <v>21.2</v>
      </c>
      <c r="X2909" s="5">
        <f t="shared" si="432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0"/>
        <v>0</v>
      </c>
      <c r="AG2909" s="2">
        <v>10.6</v>
      </c>
      <c r="AH2909" s="2">
        <v>18</v>
      </c>
      <c r="AJ2909" s="2">
        <f t="shared" si="431"/>
        <v>0</v>
      </c>
      <c r="AK2909" s="2">
        <f t="shared" si="433"/>
        <v>14.8</v>
      </c>
      <c r="AL2909" s="5">
        <f t="shared" si="434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36"/>
        <v>21.2</v>
      </c>
      <c r="X2910" s="5">
        <f t="shared" si="432"/>
        <v>0.41111111111111115</v>
      </c>
      <c r="Z2910" s="2" t="s">
        <v>3226</v>
      </c>
      <c r="AA2910" s="2" t="s">
        <v>46</v>
      </c>
      <c r="AB2910" s="2" t="s">
        <v>56</v>
      </c>
      <c r="AC2910" s="2" t="s">
        <v>57</v>
      </c>
      <c r="AF2910" s="2">
        <f t="shared" si="430"/>
        <v>0</v>
      </c>
      <c r="AG2910" s="2">
        <v>10.6</v>
      </c>
      <c r="AH2910" s="2">
        <v>18</v>
      </c>
      <c r="AJ2910" s="2">
        <f t="shared" si="431"/>
        <v>0</v>
      </c>
      <c r="AK2910" s="2">
        <f t="shared" si="433"/>
        <v>14.8</v>
      </c>
      <c r="AL2910" s="5">
        <f t="shared" si="434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432"/>
        <v>0.58173666666666668</v>
      </c>
      <c r="Z2911" s="2" t="s">
        <v>3226</v>
      </c>
      <c r="AA2911" s="2" t="s">
        <v>46</v>
      </c>
      <c r="AB2911" s="2" t="s">
        <v>90</v>
      </c>
      <c r="AC2911" s="2" t="s">
        <v>57</v>
      </c>
      <c r="AF2911" s="2">
        <f t="shared" si="430"/>
        <v>0</v>
      </c>
      <c r="AJ2911" s="2">
        <f t="shared" si="431"/>
        <v>0</v>
      </c>
      <c r="AK2911" s="2">
        <f t="shared" si="433"/>
        <v>34.904200000000003</v>
      </c>
      <c r="AL2911" s="5">
        <f t="shared" si="434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432"/>
        <v>0.51216666666666666</v>
      </c>
      <c r="Z2912" s="2" t="s">
        <v>3226</v>
      </c>
      <c r="AA2912" s="2" t="s">
        <v>46</v>
      </c>
      <c r="AB2912" s="2" t="s">
        <v>56</v>
      </c>
      <c r="AC2912" s="2" t="s">
        <v>57</v>
      </c>
      <c r="AF2912" s="2">
        <f t="shared" si="430"/>
        <v>0</v>
      </c>
      <c r="AG2912" s="2">
        <v>29.27</v>
      </c>
      <c r="AH2912" s="2">
        <v>60</v>
      </c>
      <c r="AJ2912" s="2">
        <f t="shared" si="431"/>
        <v>0</v>
      </c>
      <c r="AK2912" s="2">
        <f t="shared" si="433"/>
        <v>30.73</v>
      </c>
      <c r="AL2912" s="5">
        <f t="shared" si="434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432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0"/>
        <v>0</v>
      </c>
      <c r="AG2913" s="2">
        <v>9.14</v>
      </c>
      <c r="AH2913" s="2">
        <v>16</v>
      </c>
      <c r="AJ2913" s="2">
        <f t="shared" si="431"/>
        <v>0</v>
      </c>
      <c r="AK2913" s="2">
        <f t="shared" si="433"/>
        <v>38.600000000000009</v>
      </c>
      <c r="AL2913" s="5">
        <f t="shared" si="434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432"/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0"/>
        <v>0</v>
      </c>
      <c r="AG2914" s="2">
        <v>9.14</v>
      </c>
      <c r="AH2914" s="2">
        <v>16</v>
      </c>
      <c r="AJ2914" s="2">
        <f t="shared" si="431"/>
        <v>0</v>
      </c>
      <c r="AK2914" s="2">
        <f t="shared" si="433"/>
        <v>3.8600000000000012</v>
      </c>
      <c r="AL2914" s="5">
        <f t="shared" si="434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37">(T2915-W2915)/T2915</f>
        <v>0.29692307692307701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0"/>
        <v>0</v>
      </c>
      <c r="AG2915" s="2">
        <v>9.14</v>
      </c>
      <c r="AH2915" s="2">
        <v>16</v>
      </c>
      <c r="AJ2915" s="2">
        <f t="shared" si="431"/>
        <v>0</v>
      </c>
      <c r="AK2915" s="2">
        <f t="shared" ref="AK2915:AK2946" si="438">T2915-W2915</f>
        <v>3.8600000000000012</v>
      </c>
      <c r="AL2915" s="5">
        <f t="shared" ref="AL2915:AL2946" si="439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40">0.082*S2916</f>
        <v>98.4</v>
      </c>
      <c r="X2916" s="5">
        <f t="shared" si="437"/>
        <v>0.19999999999999996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0"/>
        <v>0</v>
      </c>
      <c r="AG2916" s="2">
        <v>8.1999999999999993</v>
      </c>
      <c r="AH2916" s="2">
        <v>13</v>
      </c>
      <c r="AJ2916" s="2">
        <f t="shared" si="431"/>
        <v>0</v>
      </c>
      <c r="AK2916" s="2">
        <f t="shared" si="438"/>
        <v>24.599999999999994</v>
      </c>
      <c r="AL2916" s="5">
        <f t="shared" si="439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40"/>
        <v>8.2000000000000011</v>
      </c>
      <c r="X2917" s="5">
        <f t="shared" si="437"/>
        <v>0.36923076923076914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0"/>
        <v>0</v>
      </c>
      <c r="AG2917" s="2">
        <v>8.1999999999999993</v>
      </c>
      <c r="AH2917" s="2">
        <v>13</v>
      </c>
      <c r="AJ2917" s="2">
        <f t="shared" si="431"/>
        <v>0</v>
      </c>
      <c r="AK2917" s="2">
        <f t="shared" si="438"/>
        <v>4.7999999999999989</v>
      </c>
      <c r="AL2917" s="5">
        <f t="shared" si="439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40"/>
        <v>82</v>
      </c>
      <c r="X2918" s="5">
        <f t="shared" si="437"/>
        <v>0.25454545454545452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0"/>
        <v>0</v>
      </c>
      <c r="AG2918" s="2">
        <v>8.1999999999999993</v>
      </c>
      <c r="AH2918" s="2">
        <v>13</v>
      </c>
      <c r="AJ2918" s="2">
        <f t="shared" si="431"/>
        <v>0</v>
      </c>
      <c r="AK2918" s="2">
        <f t="shared" si="438"/>
        <v>28</v>
      </c>
      <c r="AL2918" s="5">
        <f t="shared" si="439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40"/>
        <v>8.2000000000000011</v>
      </c>
      <c r="X2919" s="5">
        <f t="shared" si="437"/>
        <v>0.36923076923076914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0"/>
        <v>0</v>
      </c>
      <c r="AG2919" s="2">
        <v>8.1999999999999993</v>
      </c>
      <c r="AH2919" s="2">
        <v>13</v>
      </c>
      <c r="AJ2919" s="2">
        <f t="shared" si="431"/>
        <v>0</v>
      </c>
      <c r="AK2919" s="2">
        <f t="shared" si="438"/>
        <v>4.7999999999999989</v>
      </c>
      <c r="AL2919" s="5">
        <f t="shared" si="439"/>
        <v>0.36923076923076914</v>
      </c>
    </row>
    <row r="2920" spans="1:38" x14ac:dyDescent="0.2">
      <c r="A2920" s="2">
        <v>2026</v>
      </c>
      <c r="B2920" s="2">
        <v>1</v>
      </c>
      <c r="C2920" s="2" t="s">
        <v>3326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40"/>
        <v>24.6</v>
      </c>
      <c r="X2920" s="5">
        <f t="shared" si="437"/>
        <v>0.3692307692307692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0"/>
        <v>0</v>
      </c>
      <c r="AG2920" s="2">
        <v>8.1999999999999993</v>
      </c>
      <c r="AH2920" s="2">
        <v>13</v>
      </c>
      <c r="AJ2920" s="2">
        <f t="shared" si="431"/>
        <v>0</v>
      </c>
      <c r="AK2920" s="2">
        <f t="shared" si="438"/>
        <v>14.399999999999999</v>
      </c>
      <c r="AL2920" s="5">
        <f t="shared" si="439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40"/>
        <v>8.2000000000000011</v>
      </c>
      <c r="X2921" s="5">
        <f t="shared" si="437"/>
        <v>0.36923076923076914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0"/>
        <v>0</v>
      </c>
      <c r="AG2921" s="2">
        <v>8.1999999999999993</v>
      </c>
      <c r="AH2921" s="2">
        <v>13</v>
      </c>
      <c r="AJ2921" s="2">
        <f t="shared" si="431"/>
        <v>0</v>
      </c>
      <c r="AK2921" s="2">
        <f t="shared" si="438"/>
        <v>4.7999999999999989</v>
      </c>
      <c r="AL2921" s="5">
        <f t="shared" si="439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40"/>
        <v>82</v>
      </c>
      <c r="X2922" s="5">
        <f t="shared" si="437"/>
        <v>0.25454545454545452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0"/>
        <v>0</v>
      </c>
      <c r="AG2922" s="2">
        <v>8.1999999999999993</v>
      </c>
      <c r="AH2922" s="2">
        <v>13</v>
      </c>
      <c r="AJ2922" s="2">
        <f t="shared" si="431"/>
        <v>0</v>
      </c>
      <c r="AK2922" s="2">
        <f t="shared" si="438"/>
        <v>28</v>
      </c>
      <c r="AL2922" s="5">
        <f t="shared" si="439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40"/>
        <v>41</v>
      </c>
      <c r="X2923" s="5">
        <f t="shared" si="437"/>
        <v>0.31666666666666665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0"/>
        <v>0</v>
      </c>
      <c r="AG2923" s="2">
        <v>8.1999999999999993</v>
      </c>
      <c r="AH2923" s="2">
        <v>13</v>
      </c>
      <c r="AJ2923" s="2">
        <f t="shared" si="431"/>
        <v>0</v>
      </c>
      <c r="AK2923" s="2">
        <f t="shared" si="438"/>
        <v>19</v>
      </c>
      <c r="AL2923" s="5">
        <f t="shared" si="439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40"/>
        <v>82</v>
      </c>
      <c r="X2924" s="5">
        <f t="shared" si="437"/>
        <v>0.25454545454545452</v>
      </c>
      <c r="Z2924" s="2" t="s">
        <v>3226</v>
      </c>
      <c r="AA2924" s="2" t="s">
        <v>46</v>
      </c>
      <c r="AB2924" s="2" t="s">
        <v>60</v>
      </c>
      <c r="AC2924" s="2" t="s">
        <v>57</v>
      </c>
      <c r="AF2924" s="2">
        <f t="shared" si="430"/>
        <v>0</v>
      </c>
      <c r="AG2924" s="2">
        <v>8.1999999999999993</v>
      </c>
      <c r="AH2924" s="2">
        <v>13</v>
      </c>
      <c r="AJ2924" s="2">
        <f t="shared" si="431"/>
        <v>0</v>
      </c>
      <c r="AK2924" s="2">
        <f t="shared" si="438"/>
        <v>28</v>
      </c>
      <c r="AL2924" s="5">
        <f t="shared" si="439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37"/>
        <v>0.61904761904761907</v>
      </c>
      <c r="Z2925" s="2" t="s">
        <v>3226</v>
      </c>
      <c r="AA2925" s="2" t="s">
        <v>46</v>
      </c>
      <c r="AB2925" s="2" t="s">
        <v>47</v>
      </c>
      <c r="AC2925" s="2" t="s">
        <v>57</v>
      </c>
      <c r="AF2925" s="2">
        <f t="shared" si="430"/>
        <v>0</v>
      </c>
      <c r="AJ2925" s="2">
        <f t="shared" si="431"/>
        <v>0</v>
      </c>
      <c r="AK2925" s="2">
        <f t="shared" si="438"/>
        <v>13</v>
      </c>
      <c r="AL2925" s="5">
        <f t="shared" si="439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37"/>
        <v>0.46454080629301875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0"/>
        <v>0</v>
      </c>
      <c r="AG2926" s="2">
        <v>3.7555999999999998</v>
      </c>
      <c r="AH2926" s="2">
        <v>7.2</v>
      </c>
      <c r="AJ2926" s="2">
        <f t="shared" si="431"/>
        <v>0</v>
      </c>
      <c r="AK2926" s="2">
        <f t="shared" si="438"/>
        <v>94.487600000000015</v>
      </c>
      <c r="AL2926" s="5">
        <f t="shared" si="439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37"/>
        <v>0.41191666666666665</v>
      </c>
      <c r="Z2927" s="2" t="s">
        <v>3226</v>
      </c>
      <c r="AA2927" s="2" t="s">
        <v>46</v>
      </c>
      <c r="AB2927" s="2" t="s">
        <v>60</v>
      </c>
      <c r="AC2927" s="2" t="s">
        <v>57</v>
      </c>
      <c r="AF2927" s="2">
        <f t="shared" si="430"/>
        <v>0</v>
      </c>
      <c r="AG2927" s="2">
        <v>1.4114</v>
      </c>
      <c r="AH2927" s="2">
        <v>3</v>
      </c>
      <c r="AJ2927" s="2">
        <f t="shared" si="431"/>
        <v>0</v>
      </c>
      <c r="AK2927" s="2">
        <f t="shared" si="438"/>
        <v>7.9087999999999994</v>
      </c>
      <c r="AL2927" s="5">
        <f t="shared" si="439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37"/>
        <v>-0.66666666666666663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0"/>
        <v>0</v>
      </c>
      <c r="AJ2928" s="2">
        <f t="shared" si="431"/>
        <v>0</v>
      </c>
      <c r="AK2928" s="2">
        <f t="shared" si="438"/>
        <v>-40</v>
      </c>
      <c r="AL2928" s="18">
        <f t="shared" si="439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37"/>
        <v>-1</v>
      </c>
      <c r="Z2929" s="2" t="s">
        <v>3226</v>
      </c>
      <c r="AA2929" s="2" t="s">
        <v>46</v>
      </c>
      <c r="AB2929" s="2" t="s">
        <v>90</v>
      </c>
      <c r="AC2929" s="2" t="s">
        <v>57</v>
      </c>
      <c r="AF2929" s="2">
        <f t="shared" si="430"/>
        <v>0</v>
      </c>
      <c r="AJ2929" s="2">
        <f t="shared" si="431"/>
        <v>0</v>
      </c>
      <c r="AK2929" s="2">
        <f t="shared" si="438"/>
        <v>-150</v>
      </c>
      <c r="AL2929" s="18">
        <f t="shared" si="439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37"/>
        <v>0.31955925925925921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0"/>
        <v>0</v>
      </c>
      <c r="AJ2930" s="2">
        <f t="shared" si="431"/>
        <v>0</v>
      </c>
      <c r="AK2930" s="2">
        <f t="shared" si="438"/>
        <v>207.07439999999997</v>
      </c>
      <c r="AL2930" s="5">
        <f t="shared" si="439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37"/>
        <v>0.2987333333333333</v>
      </c>
      <c r="Z2931" s="2" t="s">
        <v>3226</v>
      </c>
      <c r="AA2931" s="2" t="s">
        <v>46</v>
      </c>
      <c r="AB2931" s="2" t="s">
        <v>60</v>
      </c>
      <c r="AC2931" s="2" t="s">
        <v>57</v>
      </c>
      <c r="AF2931" s="2">
        <f t="shared" si="430"/>
        <v>0</v>
      </c>
      <c r="AJ2931" s="2">
        <f t="shared" si="431"/>
        <v>0</v>
      </c>
      <c r="AK2931" s="2">
        <f t="shared" si="438"/>
        <v>64.526399999999995</v>
      </c>
      <c r="AL2931" s="5">
        <f t="shared" si="439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37"/>
        <v>0.45283848797250864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0"/>
        <v>0</v>
      </c>
      <c r="AG2932" s="2">
        <v>7.9611999999999998</v>
      </c>
      <c r="AH2932" s="2">
        <v>14.4</v>
      </c>
      <c r="AJ2932" s="2">
        <f t="shared" si="431"/>
        <v>0</v>
      </c>
      <c r="AK2932" s="2">
        <f t="shared" si="438"/>
        <v>72.476800000000011</v>
      </c>
      <c r="AL2932" s="5">
        <f t="shared" si="439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37"/>
        <v>0.45095172413793105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0"/>
        <v>0</v>
      </c>
      <c r="AG2933" s="2">
        <v>7.9611999999999998</v>
      </c>
      <c r="AH2933" s="2">
        <v>14.4</v>
      </c>
      <c r="AJ2933" s="2">
        <f t="shared" si="431"/>
        <v>0</v>
      </c>
      <c r="AK2933" s="2">
        <f t="shared" si="438"/>
        <v>6.5388000000000002</v>
      </c>
      <c r="AL2933" s="5">
        <f t="shared" si="439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7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0"/>
        <v>0</v>
      </c>
      <c r="AG2934" s="2">
        <v>15.020300000000001</v>
      </c>
      <c r="AH2934" s="2">
        <v>27.6</v>
      </c>
      <c r="AJ2934" s="2">
        <f t="shared" si="431"/>
        <v>0</v>
      </c>
      <c r="AK2934" s="2">
        <f t="shared" si="438"/>
        <v>16.959399999999999</v>
      </c>
      <c r="AL2934" s="5">
        <f t="shared" si="439"/>
        <v>0.3608382978723404</v>
      </c>
    </row>
    <row r="2935" spans="1:38" x14ac:dyDescent="0.2">
      <c r="A2935" s="2">
        <v>2026</v>
      </c>
      <c r="B2935" s="2">
        <v>1</v>
      </c>
      <c r="C2935" s="2" t="s">
        <v>3326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37"/>
        <v>0.3608382978723404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0"/>
        <v>0</v>
      </c>
      <c r="AG2935" s="2">
        <v>15.020300000000001</v>
      </c>
      <c r="AH2935" s="2">
        <v>27.6</v>
      </c>
      <c r="AJ2935" s="2">
        <f t="shared" si="431"/>
        <v>0</v>
      </c>
      <c r="AK2935" s="2">
        <f t="shared" si="438"/>
        <v>16.959399999999999</v>
      </c>
      <c r="AL2935" s="5">
        <f t="shared" si="439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F2936" s="2" t="s">
        <v>39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37"/>
        <v>0.31725909090909088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0"/>
        <v>0</v>
      </c>
      <c r="AG2936" s="2">
        <v>15.020300000000001</v>
      </c>
      <c r="AH2936" s="2">
        <v>27.6</v>
      </c>
      <c r="AJ2936" s="2">
        <f t="shared" si="431"/>
        <v>0</v>
      </c>
      <c r="AK2936" s="2">
        <f t="shared" si="438"/>
        <v>69.796999999999997</v>
      </c>
      <c r="AL2936" s="5">
        <f t="shared" si="439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37"/>
        <v>0.38411111111111107</v>
      </c>
      <c r="Z2937" s="2" t="s">
        <v>3226</v>
      </c>
      <c r="AA2937" s="2" t="s">
        <v>46</v>
      </c>
      <c r="AB2937" s="2" t="s">
        <v>67</v>
      </c>
      <c r="AC2937" s="2" t="s">
        <v>57</v>
      </c>
      <c r="AF2937" s="2">
        <f t="shared" si="430"/>
        <v>0</v>
      </c>
      <c r="AG2937" s="2">
        <v>8.3145000000000007</v>
      </c>
      <c r="AH2937" s="2">
        <v>15</v>
      </c>
      <c r="AJ2937" s="2">
        <f t="shared" si="431"/>
        <v>0</v>
      </c>
      <c r="AK2937" s="2">
        <f t="shared" si="438"/>
        <v>20.741999999999997</v>
      </c>
      <c r="AL2937" s="5">
        <f t="shared" si="439"/>
        <v>0.38411111111111107</v>
      </c>
    </row>
    <row r="2938" spans="1:38" x14ac:dyDescent="0.2">
      <c r="A2938" s="2">
        <v>2026</v>
      </c>
      <c r="B2938" s="2">
        <v>1</v>
      </c>
      <c r="C2938" s="2" t="s">
        <v>3473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398</v>
      </c>
      <c r="M2938" s="2" t="s">
        <v>109</v>
      </c>
      <c r="P2938" s="2" t="s">
        <v>3229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37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3229</v>
      </c>
      <c r="AF2938" s="2">
        <f t="shared" si="430"/>
        <v>0</v>
      </c>
      <c r="AJ2938" s="2">
        <f t="shared" si="431"/>
        <v>0</v>
      </c>
      <c r="AK2938" s="2">
        <f t="shared" si="438"/>
        <v>1247.8805</v>
      </c>
      <c r="AL2938" s="5">
        <f t="shared" si="439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37"/>
        <v>1</v>
      </c>
      <c r="Z2939" s="2" t="s">
        <v>3226</v>
      </c>
      <c r="AA2939" s="2" t="s">
        <v>87</v>
      </c>
      <c r="AB2939" s="2" t="s">
        <v>119</v>
      </c>
      <c r="AC2939" s="2" t="s">
        <v>166</v>
      </c>
      <c r="AF2939" s="2">
        <f t="shared" si="430"/>
        <v>0</v>
      </c>
      <c r="AJ2939" s="2">
        <f t="shared" si="431"/>
        <v>0</v>
      </c>
      <c r="AK2939" s="2">
        <f t="shared" si="438"/>
        <v>5</v>
      </c>
      <c r="AL2939" s="5">
        <f t="shared" si="439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37"/>
        <v>1</v>
      </c>
      <c r="Z2940" s="2" t="s">
        <v>104</v>
      </c>
      <c r="AA2940" s="2" t="s">
        <v>305</v>
      </c>
      <c r="AB2940" s="2" t="s">
        <v>106</v>
      </c>
      <c r="AC2940" s="2" t="s">
        <v>3230</v>
      </c>
      <c r="AF2940" s="2">
        <f t="shared" si="430"/>
        <v>0</v>
      </c>
      <c r="AJ2940" s="2">
        <f t="shared" si="431"/>
        <v>0</v>
      </c>
      <c r="AK2940" s="2">
        <f t="shared" si="438"/>
        <v>2300</v>
      </c>
      <c r="AL2940" s="5">
        <f t="shared" si="439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37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3230</v>
      </c>
      <c r="AF2941" s="2">
        <f t="shared" si="430"/>
        <v>0</v>
      </c>
      <c r="AJ2941" s="2">
        <f t="shared" si="431"/>
        <v>0</v>
      </c>
      <c r="AK2941" s="2">
        <f t="shared" si="438"/>
        <v>689.31</v>
      </c>
      <c r="AL2941" s="5">
        <f t="shared" si="439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37"/>
        <v>0.48223743915518519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0"/>
        <v>0</v>
      </c>
      <c r="AG2942" s="2">
        <v>125.51600000000001</v>
      </c>
      <c r="AH2942" s="2">
        <v>220</v>
      </c>
      <c r="AJ2942" s="2">
        <f t="shared" si="431"/>
        <v>0</v>
      </c>
      <c r="AK2942" s="2">
        <f t="shared" si="438"/>
        <v>116.90399999999998</v>
      </c>
      <c r="AL2942" s="5">
        <f t="shared" si="439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37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0"/>
        <v>0</v>
      </c>
      <c r="AG2943" s="2">
        <v>125.51600000000001</v>
      </c>
      <c r="AH2943" s="2">
        <v>220</v>
      </c>
      <c r="AJ2943" s="2">
        <f t="shared" si="431"/>
        <v>0</v>
      </c>
      <c r="AK2943" s="2">
        <f t="shared" si="438"/>
        <v>94.483999999999995</v>
      </c>
      <c r="AL2943" s="5">
        <f t="shared" si="439"/>
        <v>0.42947272727272723</v>
      </c>
    </row>
    <row r="2944" spans="1:38" x14ac:dyDescent="0.2">
      <c r="A2944" s="2">
        <v>2026</v>
      </c>
      <c r="B2944" s="2">
        <v>1</v>
      </c>
      <c r="C2944" s="2" t="s">
        <v>3451</v>
      </c>
      <c r="D2944" s="2" t="s">
        <v>198</v>
      </c>
      <c r="E2944" s="2" t="s">
        <v>108</v>
      </c>
      <c r="F2944" s="2" t="s">
        <v>39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37"/>
        <v>0.42947272727272723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0"/>
        <v>0</v>
      </c>
      <c r="AG2944" s="2">
        <v>125.51600000000001</v>
      </c>
      <c r="AH2944" s="2">
        <v>220</v>
      </c>
      <c r="AJ2944" s="2">
        <f t="shared" si="431"/>
        <v>0</v>
      </c>
      <c r="AK2944" s="2">
        <f t="shared" si="438"/>
        <v>188.96799999999999</v>
      </c>
      <c r="AL2944" s="5">
        <f t="shared" si="439"/>
        <v>0.42947272727272723</v>
      </c>
    </row>
    <row r="2945" spans="1:38" x14ac:dyDescent="0.2">
      <c r="A2945" s="2">
        <v>2026</v>
      </c>
      <c r="B2945" s="2">
        <v>1</v>
      </c>
      <c r="C2945" s="2" t="s">
        <v>3326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37"/>
        <v>0.39944497607655499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si="430"/>
        <v>0</v>
      </c>
      <c r="AG2945" s="2">
        <v>125.51600000000001</v>
      </c>
      <c r="AH2945" s="2">
        <v>220</v>
      </c>
      <c r="AJ2945" s="2">
        <f t="shared" si="431"/>
        <v>0</v>
      </c>
      <c r="AK2945" s="2">
        <f t="shared" si="438"/>
        <v>83.483999999999995</v>
      </c>
      <c r="AL2945" s="5">
        <f t="shared" si="439"/>
        <v>0.39944497607655499</v>
      </c>
    </row>
    <row r="2946" spans="1:38" x14ac:dyDescent="0.2">
      <c r="A2946" s="2">
        <v>2026</v>
      </c>
      <c r="B2946" s="2">
        <v>1</v>
      </c>
      <c r="C2946" s="2" t="s">
        <v>3326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37"/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ref="AF2946:AF3009" si="441">AJ2946</f>
        <v>0</v>
      </c>
      <c r="AG2946" s="2">
        <v>125.51600000000001</v>
      </c>
      <c r="AH2946" s="2">
        <v>220</v>
      </c>
      <c r="AJ2946" s="2">
        <f t="shared" ref="AJ2946:AJ3009" si="442">AI2946*T2946</f>
        <v>0</v>
      </c>
      <c r="AK2946" s="2">
        <f t="shared" si="438"/>
        <v>94.483999999999995</v>
      </c>
      <c r="AL2946" s="5">
        <f t="shared" si="439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43">(T2947-W2947)/T2947</f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1"/>
        <v>0</v>
      </c>
      <c r="AG2947" s="2">
        <v>125.51600000000001</v>
      </c>
      <c r="AH2947" s="2">
        <v>220</v>
      </c>
      <c r="AJ2947" s="2">
        <f t="shared" si="442"/>
        <v>0</v>
      </c>
      <c r="AK2947" s="2">
        <f t="shared" ref="AK2947:AK2978" si="444">T2947-W2947</f>
        <v>94.483999999999995</v>
      </c>
      <c r="AL2947" s="5">
        <f t="shared" ref="AL2947:AL2978" si="445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3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1"/>
        <v>0</v>
      </c>
      <c r="AG2948" s="2">
        <v>125.51600000000001</v>
      </c>
      <c r="AH2948" s="2">
        <v>220</v>
      </c>
      <c r="AJ2948" s="2">
        <f t="shared" si="442"/>
        <v>0</v>
      </c>
      <c r="AK2948" s="2">
        <f t="shared" si="444"/>
        <v>94.483999999999995</v>
      </c>
      <c r="AL2948" s="5">
        <f t="shared" si="445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3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1"/>
        <v>0</v>
      </c>
      <c r="AG2949" s="2">
        <v>125.51600000000001</v>
      </c>
      <c r="AH2949" s="2">
        <v>220</v>
      </c>
      <c r="AJ2949" s="2">
        <f t="shared" si="442"/>
        <v>0</v>
      </c>
      <c r="AK2949" s="2">
        <f t="shared" si="444"/>
        <v>94.483999999999995</v>
      </c>
      <c r="AL2949" s="5">
        <f t="shared" si="445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3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1"/>
        <v>0</v>
      </c>
      <c r="AG2950" s="2">
        <v>125.51600000000001</v>
      </c>
      <c r="AH2950" s="2">
        <v>220</v>
      </c>
      <c r="AJ2950" s="2">
        <f t="shared" si="442"/>
        <v>0</v>
      </c>
      <c r="AK2950" s="2">
        <f t="shared" si="444"/>
        <v>94.483999999999995</v>
      </c>
      <c r="AL2950" s="5">
        <f t="shared" si="445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43"/>
        <v>0.42947272727272723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1"/>
        <v>0</v>
      </c>
      <c r="AG2951" s="2">
        <v>125.51600000000001</v>
      </c>
      <c r="AH2951" s="2">
        <v>220</v>
      </c>
      <c r="AJ2951" s="2">
        <f t="shared" si="442"/>
        <v>0</v>
      </c>
      <c r="AK2951" s="2">
        <f t="shared" si="444"/>
        <v>94.483999999999995</v>
      </c>
      <c r="AL2951" s="5">
        <f t="shared" si="445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43"/>
        <v>0.40230476190476189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1"/>
        <v>0</v>
      </c>
      <c r="AG2952" s="2">
        <v>125.51600000000001</v>
      </c>
      <c r="AH2952" s="2">
        <v>220</v>
      </c>
      <c r="AJ2952" s="2">
        <f t="shared" si="442"/>
        <v>0</v>
      </c>
      <c r="AK2952" s="2">
        <f t="shared" si="444"/>
        <v>84.483999999999995</v>
      </c>
      <c r="AL2952" s="5">
        <f t="shared" si="445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3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1"/>
        <v>0</v>
      </c>
      <c r="AG2953" s="2">
        <v>125.51600000000001</v>
      </c>
      <c r="AH2953" s="2">
        <v>220</v>
      </c>
      <c r="AJ2953" s="2">
        <f t="shared" si="442"/>
        <v>0</v>
      </c>
      <c r="AK2953" s="2">
        <f t="shared" si="444"/>
        <v>94.483999999999995</v>
      </c>
      <c r="AL2953" s="5">
        <f t="shared" si="445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43"/>
        <v>0.42947272727272723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1"/>
        <v>0</v>
      </c>
      <c r="AG2954" s="2">
        <v>125.51600000000001</v>
      </c>
      <c r="AH2954" s="2">
        <v>220</v>
      </c>
      <c r="AJ2954" s="2">
        <f t="shared" si="442"/>
        <v>0</v>
      </c>
      <c r="AK2954" s="2">
        <f t="shared" si="444"/>
        <v>94.483999999999995</v>
      </c>
      <c r="AL2954" s="5">
        <f t="shared" si="445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43"/>
        <v>0.47755000000000003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1"/>
        <v>0</v>
      </c>
      <c r="AG2955" s="2">
        <v>104.49</v>
      </c>
      <c r="AH2955" s="2">
        <v>220</v>
      </c>
      <c r="AJ2955" s="2">
        <f t="shared" si="442"/>
        <v>0</v>
      </c>
      <c r="AK2955" s="2">
        <f t="shared" si="444"/>
        <v>95.51</v>
      </c>
      <c r="AL2955" s="5">
        <f t="shared" si="445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43"/>
        <v>0.41521052631578947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1"/>
        <v>0</v>
      </c>
      <c r="AG2956" s="2">
        <v>111.11</v>
      </c>
      <c r="AH2956" s="2">
        <v>190</v>
      </c>
      <c r="AJ2956" s="2">
        <f t="shared" si="442"/>
        <v>0</v>
      </c>
      <c r="AK2956" s="2">
        <f t="shared" si="444"/>
        <v>78.89</v>
      </c>
      <c r="AL2956" s="5">
        <f t="shared" si="445"/>
        <v>0.41521052631578947</v>
      </c>
    </row>
    <row r="2957" spans="1:38" x14ac:dyDescent="0.2">
      <c r="A2957" s="2">
        <v>2026</v>
      </c>
      <c r="B2957" s="2">
        <v>1</v>
      </c>
      <c r="C2957" s="2" t="s">
        <v>3473</v>
      </c>
      <c r="D2957" s="2" t="s">
        <v>37</v>
      </c>
      <c r="E2957" s="2" t="s">
        <v>38</v>
      </c>
      <c r="F2957" s="2" t="s">
        <v>39</v>
      </c>
      <c r="H2957" s="2" t="s">
        <v>40</v>
      </c>
      <c r="L2957" s="2" t="s">
        <v>99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43"/>
        <v>0.61401773412936733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1"/>
        <v>0</v>
      </c>
      <c r="AG2957" s="2">
        <v>109.26</v>
      </c>
      <c r="AJ2957" s="2">
        <f t="shared" si="442"/>
        <v>0</v>
      </c>
      <c r="AK2957" s="2">
        <f t="shared" si="444"/>
        <v>173.81</v>
      </c>
      <c r="AL2957" s="5">
        <f t="shared" si="445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3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1"/>
        <v>0</v>
      </c>
      <c r="AG2958" s="2">
        <v>120.636</v>
      </c>
      <c r="AH2958" s="2">
        <v>220</v>
      </c>
      <c r="AJ2958" s="2">
        <f t="shared" si="442"/>
        <v>0</v>
      </c>
      <c r="AK2958" s="2">
        <f t="shared" si="444"/>
        <v>99.364000000000004</v>
      </c>
      <c r="AL2958" s="5">
        <f t="shared" si="445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3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1"/>
        <v>0</v>
      </c>
      <c r="AG2959" s="2">
        <v>120.636</v>
      </c>
      <c r="AH2959" s="2">
        <v>220</v>
      </c>
      <c r="AJ2959" s="2">
        <f t="shared" si="442"/>
        <v>0</v>
      </c>
      <c r="AK2959" s="2">
        <f t="shared" si="444"/>
        <v>99.364000000000004</v>
      </c>
      <c r="AL2959" s="5">
        <f t="shared" si="445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43"/>
        <v>0.45165454545454548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1"/>
        <v>0</v>
      </c>
      <c r="AG2960" s="2">
        <v>120.636</v>
      </c>
      <c r="AH2960" s="2">
        <v>220</v>
      </c>
      <c r="AJ2960" s="2">
        <f t="shared" si="442"/>
        <v>0</v>
      </c>
      <c r="AK2960" s="2">
        <f t="shared" si="444"/>
        <v>99.364000000000004</v>
      </c>
      <c r="AL2960" s="5">
        <f t="shared" si="445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43"/>
        <v>0.45234782608695656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1"/>
        <v>0</v>
      </c>
      <c r="AG2961" s="2">
        <f>119.7+6.26</f>
        <v>125.96000000000001</v>
      </c>
      <c r="AJ2961" s="2">
        <f t="shared" si="442"/>
        <v>0</v>
      </c>
      <c r="AK2961" s="2">
        <f t="shared" si="444"/>
        <v>104.04</v>
      </c>
      <c r="AL2961" s="5">
        <f t="shared" si="445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43"/>
        <v>0.36018493820574382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1"/>
        <v>0</v>
      </c>
      <c r="AG2962" s="2">
        <v>143.91999999999999</v>
      </c>
      <c r="AJ2962" s="2">
        <f t="shared" si="442"/>
        <v>0</v>
      </c>
      <c r="AK2962" s="2">
        <f t="shared" si="444"/>
        <v>81.02000000000001</v>
      </c>
      <c r="AL2962" s="5">
        <f t="shared" si="445"/>
        <v>0.36018493820574382</v>
      </c>
    </row>
    <row r="2963" spans="1:38" x14ac:dyDescent="0.2">
      <c r="A2963" s="2">
        <v>2026</v>
      </c>
      <c r="B2963" s="2">
        <v>1</v>
      </c>
      <c r="C2963" s="2" t="s">
        <v>3326</v>
      </c>
      <c r="D2963" s="2" t="s">
        <v>1073</v>
      </c>
      <c r="E2963" s="2" t="s">
        <v>108</v>
      </c>
      <c r="F2963" s="2" t="s">
        <v>39</v>
      </c>
      <c r="L2963" s="2" t="s">
        <v>461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43"/>
        <v>0.56295454545454537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1"/>
        <v>0</v>
      </c>
      <c r="AJ2963" s="2">
        <f t="shared" si="442"/>
        <v>0</v>
      </c>
      <c r="AK2963" s="2">
        <f t="shared" si="444"/>
        <v>123.85</v>
      </c>
      <c r="AL2963" s="5">
        <f t="shared" si="445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3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1"/>
        <v>0</v>
      </c>
      <c r="AG2964" s="2">
        <v>131.93</v>
      </c>
      <c r="AH2964" s="2">
        <v>220</v>
      </c>
      <c r="AJ2964" s="2">
        <f t="shared" si="442"/>
        <v>0</v>
      </c>
      <c r="AK2964" s="2">
        <f t="shared" si="444"/>
        <v>88.07</v>
      </c>
      <c r="AL2964" s="5">
        <f t="shared" si="445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43"/>
        <v>0.4003181818181818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1"/>
        <v>0</v>
      </c>
      <c r="AG2965" s="2">
        <v>131.93</v>
      </c>
      <c r="AH2965" s="2">
        <v>220</v>
      </c>
      <c r="AJ2965" s="2">
        <f t="shared" si="442"/>
        <v>0</v>
      </c>
      <c r="AK2965" s="2">
        <f t="shared" si="444"/>
        <v>88.07</v>
      </c>
      <c r="AL2965" s="5">
        <f t="shared" si="445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43"/>
        <v>0.53871429123661529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1"/>
        <v>0</v>
      </c>
      <c r="AG2966" s="2">
        <v>119.33</v>
      </c>
      <c r="AH2966" s="2">
        <v>220</v>
      </c>
      <c r="AJ2966" s="2">
        <f t="shared" si="442"/>
        <v>0</v>
      </c>
      <c r="AK2966" s="2">
        <f t="shared" si="444"/>
        <v>139.36000000000001</v>
      </c>
      <c r="AL2966" s="5">
        <f t="shared" si="445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43"/>
        <v>0.4575909090909091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1"/>
        <v>0</v>
      </c>
      <c r="AG2967" s="2">
        <v>119.33</v>
      </c>
      <c r="AH2967" s="2">
        <v>220</v>
      </c>
      <c r="AJ2967" s="2">
        <f t="shared" si="442"/>
        <v>0</v>
      </c>
      <c r="AK2967" s="2">
        <f t="shared" si="444"/>
        <v>100.67</v>
      </c>
      <c r="AL2967" s="5">
        <f t="shared" si="445"/>
        <v>0.4575909090909091</v>
      </c>
    </row>
    <row r="2968" spans="1:38" x14ac:dyDescent="0.2">
      <c r="A2968" s="2">
        <v>2026</v>
      </c>
      <c r="B2968" s="2">
        <v>1</v>
      </c>
      <c r="C2968" s="2" t="s">
        <v>3326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43"/>
        <v>0.42904306220095695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1"/>
        <v>0</v>
      </c>
      <c r="AG2968" s="2">
        <v>119.33</v>
      </c>
      <c r="AH2968" s="2">
        <v>220</v>
      </c>
      <c r="AJ2968" s="2">
        <f t="shared" si="442"/>
        <v>0</v>
      </c>
      <c r="AK2968" s="2">
        <f t="shared" si="444"/>
        <v>89.67</v>
      </c>
      <c r="AL2968" s="5">
        <f t="shared" si="445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43"/>
        <v>0.42485714285714288</v>
      </c>
      <c r="Z2969" s="2" t="s">
        <v>3226</v>
      </c>
      <c r="AA2969" s="2" t="s">
        <v>75</v>
      </c>
      <c r="AB2969" s="2" t="s">
        <v>76</v>
      </c>
      <c r="AC2969" s="2" t="s">
        <v>77</v>
      </c>
      <c r="AF2969" s="2">
        <f t="shared" si="441"/>
        <v>0</v>
      </c>
      <c r="AG2969" s="2">
        <v>120.78</v>
      </c>
      <c r="AH2969" s="2">
        <v>210</v>
      </c>
      <c r="AJ2969" s="2">
        <f t="shared" si="442"/>
        <v>0</v>
      </c>
      <c r="AK2969" s="2">
        <f t="shared" si="444"/>
        <v>89.22</v>
      </c>
      <c r="AL2969" s="5">
        <f t="shared" si="445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43"/>
        <v>0.53121428571428575</v>
      </c>
      <c r="Z2970" s="2" t="s">
        <v>3226</v>
      </c>
      <c r="AA2970" s="2" t="s">
        <v>46</v>
      </c>
      <c r="AB2970" s="2" t="s">
        <v>56</v>
      </c>
      <c r="AC2970" s="2" t="s">
        <v>57</v>
      </c>
      <c r="AF2970" s="2">
        <f t="shared" si="441"/>
        <v>0</v>
      </c>
      <c r="AG2970" s="2">
        <v>5.9066999999999998</v>
      </c>
      <c r="AH2970" s="2">
        <v>12.6</v>
      </c>
      <c r="AJ2970" s="2">
        <f t="shared" si="442"/>
        <v>0</v>
      </c>
      <c r="AK2970" s="2">
        <f t="shared" si="444"/>
        <v>6.6932999999999998</v>
      </c>
      <c r="AL2970" s="5">
        <f t="shared" si="445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43"/>
        <v>0.44256578348356551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1"/>
        <v>0</v>
      </c>
      <c r="AG2971" s="2">
        <v>122.446</v>
      </c>
      <c r="AH2971" s="2">
        <v>230</v>
      </c>
      <c r="AJ2971" s="2">
        <f t="shared" si="442"/>
        <v>0</v>
      </c>
      <c r="AK2971" s="2">
        <f t="shared" si="444"/>
        <v>97.213999999999999</v>
      </c>
      <c r="AL2971" s="5">
        <f t="shared" si="445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43"/>
        <v>0.44342727272727273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1"/>
        <v>0</v>
      </c>
      <c r="AG2972" s="2">
        <v>122.446</v>
      </c>
      <c r="AH2972" s="2">
        <v>230</v>
      </c>
      <c r="AJ2972" s="2">
        <f t="shared" si="442"/>
        <v>0</v>
      </c>
      <c r="AK2972" s="2">
        <f t="shared" si="444"/>
        <v>97.554000000000002</v>
      </c>
      <c r="AL2972" s="5">
        <f t="shared" si="445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43"/>
        <v>0.46676190476190477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1"/>
        <v>0</v>
      </c>
      <c r="AG2973" s="2">
        <v>111.98</v>
      </c>
      <c r="AH2973" s="2">
        <v>210</v>
      </c>
      <c r="AJ2973" s="2">
        <f t="shared" si="442"/>
        <v>0</v>
      </c>
      <c r="AK2973" s="2">
        <f t="shared" si="444"/>
        <v>98.02</v>
      </c>
      <c r="AL2973" s="5">
        <f t="shared" si="445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43"/>
        <v>0.45027000490918012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1"/>
        <v>0</v>
      </c>
      <c r="AG2974" s="2">
        <v>111.98</v>
      </c>
      <c r="AH2974" s="2">
        <v>210</v>
      </c>
      <c r="AJ2974" s="2">
        <f t="shared" si="442"/>
        <v>0</v>
      </c>
      <c r="AK2974" s="2">
        <f t="shared" si="444"/>
        <v>91.719999999999985</v>
      </c>
      <c r="AL2974" s="5">
        <f t="shared" si="445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3206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43"/>
        <v>0.46676190476190477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1"/>
        <v>0</v>
      </c>
      <c r="AG2975" s="2">
        <v>111.98</v>
      </c>
      <c r="AH2975" s="2">
        <v>210</v>
      </c>
      <c r="AJ2975" s="2">
        <f t="shared" si="442"/>
        <v>0</v>
      </c>
      <c r="AK2975" s="2">
        <f t="shared" si="444"/>
        <v>98.02</v>
      </c>
      <c r="AL2975" s="5">
        <f t="shared" si="445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43"/>
        <v>0.47525773195876286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1"/>
        <v>0</v>
      </c>
      <c r="AG2976" s="2">
        <v>111.98</v>
      </c>
      <c r="AH2976" s="2">
        <v>210</v>
      </c>
      <c r="AJ2976" s="2">
        <f t="shared" si="442"/>
        <v>0</v>
      </c>
      <c r="AK2976" s="2">
        <f t="shared" si="444"/>
        <v>101.42</v>
      </c>
      <c r="AL2976" s="5">
        <f t="shared" si="445"/>
        <v>0.47525773195876286</v>
      </c>
    </row>
    <row r="2977" spans="1:38" x14ac:dyDescent="0.2">
      <c r="A2977" s="2">
        <v>2026</v>
      </c>
      <c r="B2977" s="2">
        <v>1</v>
      </c>
      <c r="C2977" s="2" t="s">
        <v>3326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3196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43"/>
        <v>0.38899749373433584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1"/>
        <v>0</v>
      </c>
      <c r="AG2977" s="2">
        <f>110.125+11.77</f>
        <v>121.895</v>
      </c>
      <c r="AJ2977" s="2">
        <f t="shared" si="442"/>
        <v>0</v>
      </c>
      <c r="AK2977" s="2">
        <f t="shared" si="444"/>
        <v>77.605000000000004</v>
      </c>
      <c r="AL2977" s="5">
        <f t="shared" si="445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43"/>
        <v>0.53174923712080413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1"/>
        <v>0</v>
      </c>
      <c r="AG2978" s="2">
        <f>198.32+10.37</f>
        <v>208.69</v>
      </c>
      <c r="AH2978" s="2">
        <v>340</v>
      </c>
      <c r="AJ2978" s="2">
        <f t="shared" si="442"/>
        <v>0</v>
      </c>
      <c r="AK2978" s="2">
        <f t="shared" si="444"/>
        <v>236.99</v>
      </c>
      <c r="AL2978" s="5">
        <f t="shared" si="445"/>
        <v>0.53174923712080413</v>
      </c>
    </row>
    <row r="2979" spans="1:38" x14ac:dyDescent="0.2">
      <c r="A2979" s="2">
        <v>2026</v>
      </c>
      <c r="B2979" s="2">
        <v>1</v>
      </c>
      <c r="C2979" s="2" t="s">
        <v>3326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46">(T2979-W2979)/T2979</f>
        <v>0.35408906882591096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1"/>
        <v>0</v>
      </c>
      <c r="AG2979" s="2">
        <f>144.14+15.4</f>
        <v>159.54</v>
      </c>
      <c r="AH2979" s="2">
        <v>280</v>
      </c>
      <c r="AJ2979" s="2">
        <f t="shared" si="442"/>
        <v>0</v>
      </c>
      <c r="AK2979" s="2">
        <f t="shared" ref="AK2979:AK3004" si="447">T2979-W2979</f>
        <v>174.92000000000002</v>
      </c>
      <c r="AL2979" s="5">
        <f t="shared" ref="AL2979:AL2994" si="448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46"/>
        <v>0.41211538461538466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1"/>
        <v>0</v>
      </c>
      <c r="AG2980" s="2">
        <v>152.85</v>
      </c>
      <c r="AH2980" s="2">
        <v>260</v>
      </c>
      <c r="AJ2980" s="2">
        <f t="shared" si="442"/>
        <v>0</v>
      </c>
      <c r="AK2980" s="2">
        <f t="shared" si="447"/>
        <v>107.15</v>
      </c>
      <c r="AL2980" s="5">
        <f t="shared" si="448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46"/>
        <v>0.38639747995418094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1"/>
        <v>0</v>
      </c>
      <c r="AJ2981" s="2">
        <f t="shared" si="442"/>
        <v>0</v>
      </c>
      <c r="AK2981" s="2">
        <f t="shared" si="447"/>
        <v>134.92999999999998</v>
      </c>
      <c r="AL2981" s="5">
        <f t="shared" si="448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46"/>
        <v>0.48100000000000004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1"/>
        <v>0</v>
      </c>
      <c r="AJ2982" s="2">
        <f t="shared" si="442"/>
        <v>0</v>
      </c>
      <c r="AK2982" s="2">
        <f t="shared" si="447"/>
        <v>134.68</v>
      </c>
      <c r="AL2982" s="5">
        <f t="shared" si="448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46"/>
        <v>0.21811538461538466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1"/>
        <v>0</v>
      </c>
      <c r="AJ2983" s="2">
        <f t="shared" si="442"/>
        <v>0</v>
      </c>
      <c r="AK2983" s="2">
        <f t="shared" si="447"/>
        <v>56.710000000000008</v>
      </c>
      <c r="AL2983" s="5">
        <f t="shared" si="448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6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1"/>
        <v>0</v>
      </c>
      <c r="AG2984" s="2">
        <v>291.58999999999997</v>
      </c>
      <c r="AH2984" s="2">
        <v>450</v>
      </c>
      <c r="AJ2984" s="2">
        <f t="shared" si="442"/>
        <v>0</v>
      </c>
      <c r="AK2984" s="2">
        <f t="shared" si="447"/>
        <v>168.41000000000003</v>
      </c>
      <c r="AL2984" s="5">
        <f t="shared" si="448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F2985" s="2" t="s">
        <v>39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46"/>
        <v>0.36610869565217397</v>
      </c>
      <c r="Z2985" s="2" t="s">
        <v>3226</v>
      </c>
      <c r="AA2985" s="2" t="s">
        <v>75</v>
      </c>
      <c r="AB2985" s="2" t="s">
        <v>76</v>
      </c>
      <c r="AC2985" s="2" t="s">
        <v>77</v>
      </c>
      <c r="AF2985" s="2">
        <f t="shared" si="441"/>
        <v>0</v>
      </c>
      <c r="AG2985" s="2">
        <v>291.58999999999997</v>
      </c>
      <c r="AH2985" s="2">
        <v>450</v>
      </c>
      <c r="AJ2985" s="2">
        <f t="shared" si="442"/>
        <v>0</v>
      </c>
      <c r="AK2985" s="2">
        <f t="shared" si="447"/>
        <v>168.41000000000003</v>
      </c>
      <c r="AL2985" s="5">
        <f t="shared" si="448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46"/>
        <v>1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1"/>
        <v>0</v>
      </c>
      <c r="AJ2986" s="2">
        <f t="shared" si="442"/>
        <v>0</v>
      </c>
      <c r="AK2986" s="2">
        <f t="shared" si="447"/>
        <v>15</v>
      </c>
      <c r="AL2986" s="5">
        <f t="shared" si="448"/>
        <v>1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46"/>
        <v>0.22570212765957443</v>
      </c>
      <c r="Z2987" s="2" t="s">
        <v>3226</v>
      </c>
      <c r="AA2987" s="2" t="s">
        <v>87</v>
      </c>
      <c r="AB2987" s="2" t="s">
        <v>90</v>
      </c>
      <c r="AC2987" s="2" t="s">
        <v>84</v>
      </c>
      <c r="AF2987" s="2">
        <f t="shared" si="441"/>
        <v>0</v>
      </c>
      <c r="AJ2987" s="2">
        <f t="shared" si="442"/>
        <v>0</v>
      </c>
      <c r="AK2987" s="2">
        <f t="shared" si="447"/>
        <v>106.07999999999998</v>
      </c>
      <c r="AL2987" s="5">
        <f t="shared" si="448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46"/>
        <v>0.41707692307692307</v>
      </c>
      <c r="Z2988" s="2" t="s">
        <v>3226</v>
      </c>
      <c r="AA2988" s="2" t="s">
        <v>1041</v>
      </c>
      <c r="AB2988" s="2" t="s">
        <v>1270</v>
      </c>
      <c r="AC2988" s="2" t="s">
        <v>1038</v>
      </c>
      <c r="AF2988" s="2">
        <f t="shared" si="441"/>
        <v>0</v>
      </c>
      <c r="AJ2988" s="2">
        <f t="shared" si="442"/>
        <v>0</v>
      </c>
      <c r="AK2988" s="2">
        <f t="shared" si="447"/>
        <v>216.88</v>
      </c>
      <c r="AL2988" s="5">
        <f t="shared" si="448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46"/>
        <v>0.38905972109103604</v>
      </c>
      <c r="Z2989" s="2" t="s">
        <v>3226</v>
      </c>
      <c r="AA2989" s="2" t="s">
        <v>1041</v>
      </c>
      <c r="AB2989" s="2" t="s">
        <v>1318</v>
      </c>
      <c r="AC2989" s="2" t="s">
        <v>1038</v>
      </c>
      <c r="AF2989" s="2">
        <f t="shared" si="441"/>
        <v>0</v>
      </c>
      <c r="AJ2989" s="2">
        <f t="shared" si="442"/>
        <v>0</v>
      </c>
      <c r="AK2989" s="2">
        <f t="shared" si="447"/>
        <v>234.07</v>
      </c>
      <c r="AL2989" s="5">
        <f t="shared" si="448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46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41"/>
        <v>0</v>
      </c>
      <c r="AG2990" s="2">
        <v>1160.5</v>
      </c>
      <c r="AH2990" s="2">
        <v>1500</v>
      </c>
      <c r="AJ2990" s="2">
        <f t="shared" si="442"/>
        <v>0</v>
      </c>
      <c r="AK2990" s="2">
        <f t="shared" si="447"/>
        <v>339.5</v>
      </c>
      <c r="AL2990" s="5">
        <f t="shared" si="448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46"/>
        <v>1</v>
      </c>
      <c r="Z2991" s="2" t="s">
        <v>119</v>
      </c>
      <c r="AA2991" s="2" t="s">
        <v>492</v>
      </c>
      <c r="AF2991" s="2">
        <f t="shared" si="441"/>
        <v>0</v>
      </c>
      <c r="AJ2991" s="2">
        <f t="shared" si="442"/>
        <v>0</v>
      </c>
      <c r="AK2991" s="2">
        <f t="shared" si="447"/>
        <v>664.04</v>
      </c>
      <c r="AL2991" s="5">
        <f t="shared" si="448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46"/>
        <v>1</v>
      </c>
      <c r="Z2992" s="2" t="s">
        <v>117</v>
      </c>
      <c r="AA2992" s="2" t="s">
        <v>317</v>
      </c>
      <c r="AF2992" s="2">
        <f t="shared" si="441"/>
        <v>0</v>
      </c>
      <c r="AJ2992" s="2">
        <f t="shared" si="442"/>
        <v>0</v>
      </c>
      <c r="AK2992" s="2">
        <f t="shared" si="447"/>
        <v>291</v>
      </c>
      <c r="AL2992" s="5">
        <f t="shared" si="448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Z2993" s="2" t="s">
        <v>117</v>
      </c>
      <c r="AA2993" s="2" t="s">
        <v>317</v>
      </c>
      <c r="AF2993" s="2">
        <f t="shared" si="441"/>
        <v>0</v>
      </c>
      <c r="AJ2993" s="2">
        <f t="shared" si="442"/>
        <v>0</v>
      </c>
      <c r="AK2993" s="2">
        <f t="shared" si="447"/>
        <v>-850</v>
      </c>
      <c r="AL2993" s="18"/>
    </row>
    <row r="2994" spans="1:38" x14ac:dyDescent="0.2">
      <c r="A2994" s="2">
        <v>2026</v>
      </c>
      <c r="B2994" s="2">
        <v>1</v>
      </c>
      <c r="C2994" s="2" t="s">
        <v>3451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46"/>
        <v>1</v>
      </c>
      <c r="Z2994" s="2" t="s">
        <v>117</v>
      </c>
      <c r="AA2994" s="2" t="s">
        <v>317</v>
      </c>
      <c r="AF2994" s="2">
        <f t="shared" si="441"/>
        <v>0</v>
      </c>
      <c r="AJ2994" s="2">
        <f t="shared" si="442"/>
        <v>0</v>
      </c>
      <c r="AK2994" s="2">
        <f t="shared" si="447"/>
        <v>875</v>
      </c>
      <c r="AL2994" s="5">
        <f t="shared" si="448"/>
        <v>1</v>
      </c>
    </row>
    <row r="2995" spans="1:38" x14ac:dyDescent="0.2">
      <c r="A2995" s="2">
        <v>2026</v>
      </c>
      <c r="B2995" s="2">
        <v>4</v>
      </c>
      <c r="C2995" s="2" t="s">
        <v>3443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41"/>
        <v>0</v>
      </c>
      <c r="AJ2995" s="2">
        <f t="shared" si="442"/>
        <v>0</v>
      </c>
      <c r="AK2995" s="2">
        <f t="shared" si="447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3443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41"/>
        <v>0</v>
      </c>
      <c r="AG2996" s="2">
        <f>W2996</f>
        <v>0</v>
      </c>
      <c r="AJ2996" s="2">
        <f t="shared" si="442"/>
        <v>0</v>
      </c>
      <c r="AK2996" s="2">
        <f t="shared" si="447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41"/>
        <v>0</v>
      </c>
      <c r="AJ2997" s="2">
        <f t="shared" si="442"/>
        <v>0</v>
      </c>
      <c r="AK2997" s="2">
        <f t="shared" si="447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41"/>
        <v>0</v>
      </c>
      <c r="AG2998" s="2">
        <f>W2998</f>
        <v>27.5</v>
      </c>
      <c r="AJ2998" s="2">
        <f t="shared" si="442"/>
        <v>0</v>
      </c>
      <c r="AK2998" s="2">
        <f t="shared" si="447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79*40%</f>
        <v>31.6</v>
      </c>
      <c r="X2999" s="18">
        <f t="shared" ref="X2999:X3000" si="449">SIGN(T2999)*((ABS(T2999)-W2999)/ABS(T2999))</f>
        <v>-0.6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41"/>
        <v>0</v>
      </c>
      <c r="AJ2999" s="2">
        <f t="shared" si="442"/>
        <v>0</v>
      </c>
      <c r="AK2999" s="2">
        <f t="shared" si="447"/>
        <v>-110.6</v>
      </c>
      <c r="AL2999" s="18">
        <f t="shared" ref="AL2999:AL3000" si="450">SIGN(T2999)*((ABS(T2999)-W2999)/ABS(T2999))</f>
        <v>-0.6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W3000" s="2">
        <v>50</v>
      </c>
      <c r="X3000" s="18">
        <f t="shared" si="449"/>
        <v>-0.5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41"/>
        <v>0</v>
      </c>
      <c r="AG3000" s="2">
        <f t="shared" ref="AG3000:AG3028" si="451">W3000</f>
        <v>50</v>
      </c>
      <c r="AJ3000" s="2">
        <f t="shared" si="442"/>
        <v>0</v>
      </c>
      <c r="AK3000" s="2">
        <f t="shared" si="447"/>
        <v>-150</v>
      </c>
      <c r="AL3000" s="18">
        <f t="shared" si="450"/>
        <v>-0.5</v>
      </c>
    </row>
    <row r="3001" spans="1:38" x14ac:dyDescent="0.2">
      <c r="A3001" s="2">
        <v>2026</v>
      </c>
      <c r="B3001" s="2">
        <v>2</v>
      </c>
      <c r="C3001" s="2" t="s">
        <v>3320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41"/>
        <v>0</v>
      </c>
      <c r="AG3001" s="2">
        <f t="shared" si="451"/>
        <v>198.4</v>
      </c>
      <c r="AJ3001" s="2">
        <f t="shared" si="442"/>
        <v>0</v>
      </c>
      <c r="AK3001" s="2">
        <f t="shared" si="447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C3002" s="2" t="s">
        <v>3320</v>
      </c>
      <c r="D3002" s="2" t="s">
        <v>2442</v>
      </c>
      <c r="E3002" s="2" t="s">
        <v>108</v>
      </c>
      <c r="F3002" s="2" t="s">
        <v>39</v>
      </c>
      <c r="L3002" s="2" t="s">
        <v>398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41"/>
        <v>0</v>
      </c>
      <c r="AG3002" s="2">
        <f t="shared" si="451"/>
        <v>100</v>
      </c>
      <c r="AJ3002" s="2">
        <f t="shared" si="442"/>
        <v>0</v>
      </c>
      <c r="AK3002" s="2">
        <f t="shared" si="447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61*40%</f>
        <v>24.400000000000002</v>
      </c>
      <c r="X3003" s="18">
        <f t="shared" ref="X3003:X3004" si="452">SIGN(T3003)*((ABS(T3003)-W3003)/ABS(T3003))</f>
        <v>-0.59999999999999987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41"/>
        <v>0</v>
      </c>
      <c r="AG3003" s="2">
        <f t="shared" si="451"/>
        <v>24.400000000000002</v>
      </c>
      <c r="AJ3003" s="2">
        <f t="shared" si="442"/>
        <v>0</v>
      </c>
      <c r="AK3003" s="2">
        <f t="shared" si="447"/>
        <v>-85.4</v>
      </c>
      <c r="AL3003" s="18">
        <f t="shared" ref="AL3003:AL3004" si="453">SIGN(T3003)*((ABS(T3003)-W3003)/ABS(T3003))</f>
        <v>-0.59999999999999987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W3004" s="2">
        <v>62.5</v>
      </c>
      <c r="X3004" s="18">
        <f t="shared" si="452"/>
        <v>-0.5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1"/>
        <v>0</v>
      </c>
      <c r="AG3004" s="2">
        <f t="shared" si="451"/>
        <v>62.5</v>
      </c>
      <c r="AJ3004" s="2">
        <f t="shared" si="442"/>
        <v>0</v>
      </c>
      <c r="AK3004" s="2">
        <f t="shared" si="447"/>
        <v>-187.5</v>
      </c>
      <c r="AL3004" s="18">
        <f t="shared" si="453"/>
        <v>-0.5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41"/>
        <v>0</v>
      </c>
      <c r="AG3005" s="2">
        <f t="shared" si="451"/>
        <v>41.25</v>
      </c>
      <c r="AJ3005" s="2">
        <f t="shared" si="442"/>
        <v>0</v>
      </c>
      <c r="AK3005" s="2">
        <f t="shared" ref="AK3005:AK3036" si="454">T3005-W3005</f>
        <v>41.25</v>
      </c>
      <c r="AL3005" s="5">
        <f t="shared" ref="AL3005:AL3035" si="455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56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41"/>
        <v>0</v>
      </c>
      <c r="AG3006" s="2">
        <f t="shared" si="451"/>
        <v>22</v>
      </c>
      <c r="AJ3006" s="2">
        <f t="shared" si="442"/>
        <v>0</v>
      </c>
      <c r="AK3006" s="2">
        <f t="shared" si="454"/>
        <v>33</v>
      </c>
      <c r="AL3006" s="5">
        <f t="shared" si="455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56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41"/>
        <v>0</v>
      </c>
      <c r="AG3007" s="2">
        <f t="shared" si="451"/>
        <v>27.5</v>
      </c>
      <c r="AJ3007" s="2">
        <f t="shared" si="442"/>
        <v>0</v>
      </c>
      <c r="AK3007" s="2">
        <f t="shared" si="454"/>
        <v>27.5</v>
      </c>
      <c r="AL3007" s="5">
        <f t="shared" si="455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56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41"/>
        <v>0</v>
      </c>
      <c r="AG3008" s="2">
        <f t="shared" si="451"/>
        <v>24</v>
      </c>
      <c r="AJ3008" s="2">
        <f t="shared" si="442"/>
        <v>0</v>
      </c>
      <c r="AK3008" s="2">
        <f t="shared" si="454"/>
        <v>36</v>
      </c>
      <c r="AL3008" s="5">
        <f t="shared" si="455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56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41"/>
        <v>0</v>
      </c>
      <c r="AG3009" s="2">
        <f t="shared" si="451"/>
        <v>27.5</v>
      </c>
      <c r="AJ3009" s="2">
        <f t="shared" si="442"/>
        <v>0</v>
      </c>
      <c r="AK3009" s="2">
        <f t="shared" si="454"/>
        <v>27.5</v>
      </c>
      <c r="AL3009" s="5">
        <f t="shared" si="455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56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57">AJ3010</f>
        <v>0</v>
      </c>
      <c r="AG3010" s="2">
        <f t="shared" si="451"/>
        <v>24</v>
      </c>
      <c r="AJ3010" s="2">
        <f t="shared" ref="AJ3010:AJ3073" si="458">AI3010*T3010</f>
        <v>0</v>
      </c>
      <c r="AK3010" s="2">
        <f t="shared" si="454"/>
        <v>36</v>
      </c>
      <c r="AL3010" s="5">
        <f t="shared" si="455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56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57"/>
        <v>0</v>
      </c>
      <c r="AG3011" s="2">
        <f t="shared" si="451"/>
        <v>37.5</v>
      </c>
      <c r="AJ3011" s="2">
        <f t="shared" si="458"/>
        <v>0</v>
      </c>
      <c r="AK3011" s="2">
        <f t="shared" si="454"/>
        <v>37.5</v>
      </c>
      <c r="AL3011" s="5">
        <f t="shared" si="455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56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57"/>
        <v>0</v>
      </c>
      <c r="AG3012" s="2">
        <f t="shared" si="451"/>
        <v>126.80000000000001</v>
      </c>
      <c r="AJ3012" s="2">
        <f t="shared" si="458"/>
        <v>0</v>
      </c>
      <c r="AK3012" s="2">
        <f t="shared" si="454"/>
        <v>190.2</v>
      </c>
      <c r="AL3012" s="5">
        <f t="shared" si="455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56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57"/>
        <v>0</v>
      </c>
      <c r="AG3013" s="2">
        <f t="shared" si="451"/>
        <v>27.5</v>
      </c>
      <c r="AJ3013" s="2">
        <f t="shared" si="458"/>
        <v>0</v>
      </c>
      <c r="AK3013" s="2">
        <f t="shared" si="454"/>
        <v>27.5</v>
      </c>
      <c r="AL3013" s="5">
        <f t="shared" si="455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37.5*40%</f>
        <v>15</v>
      </c>
      <c r="X3014" s="18">
        <f t="shared" ref="X3014:X3015" si="459">SIGN(T3014)*((ABS(T3014)-W3014)/ABS(T3014))</f>
        <v>-0.6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57"/>
        <v>0</v>
      </c>
      <c r="AG3014" s="2">
        <f t="shared" si="451"/>
        <v>15</v>
      </c>
      <c r="AJ3014" s="2">
        <f t="shared" si="458"/>
        <v>0</v>
      </c>
      <c r="AK3014" s="2">
        <f t="shared" si="454"/>
        <v>-52.5</v>
      </c>
      <c r="AL3014" s="18">
        <f t="shared" ref="AL3014:AL3015" si="460">SIGN(T3014)*((ABS(T3014)-W3014)/ABS(T3014))</f>
        <v>-0.6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W3015" s="2">
        <f>36*50%</f>
        <v>18</v>
      </c>
      <c r="X3015" s="18">
        <f t="shared" si="459"/>
        <v>-0.5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57"/>
        <v>0</v>
      </c>
      <c r="AG3015" s="2">
        <f t="shared" si="451"/>
        <v>18</v>
      </c>
      <c r="AJ3015" s="2">
        <f t="shared" si="458"/>
        <v>0</v>
      </c>
      <c r="AK3015" s="2">
        <f t="shared" si="454"/>
        <v>-54</v>
      </c>
      <c r="AL3015" s="18">
        <f t="shared" si="460"/>
        <v>-0.5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61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57"/>
        <v>0</v>
      </c>
      <c r="AG3016" s="2">
        <f t="shared" si="451"/>
        <v>20</v>
      </c>
      <c r="AJ3016" s="2">
        <f t="shared" si="458"/>
        <v>0</v>
      </c>
      <c r="AK3016" s="2">
        <f t="shared" si="454"/>
        <v>30</v>
      </c>
      <c r="AL3016" s="5">
        <f t="shared" si="455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61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57"/>
        <v>0</v>
      </c>
      <c r="AG3017" s="2">
        <f t="shared" si="451"/>
        <v>25</v>
      </c>
      <c r="AJ3017" s="2">
        <f t="shared" si="458"/>
        <v>0</v>
      </c>
      <c r="AK3017" s="2">
        <f t="shared" si="454"/>
        <v>25</v>
      </c>
      <c r="AL3017" s="5">
        <f t="shared" si="455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61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57"/>
        <v>0</v>
      </c>
      <c r="AG3018" s="2">
        <f t="shared" si="451"/>
        <v>41.6</v>
      </c>
      <c r="AJ3018" s="2">
        <f t="shared" si="458"/>
        <v>0</v>
      </c>
      <c r="AK3018" s="2">
        <f t="shared" si="454"/>
        <v>62.4</v>
      </c>
      <c r="AL3018" s="5">
        <f t="shared" si="455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61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57"/>
        <v>0</v>
      </c>
      <c r="AG3019" s="2">
        <f t="shared" si="451"/>
        <v>27.5</v>
      </c>
      <c r="AJ3019" s="2">
        <f t="shared" si="458"/>
        <v>0</v>
      </c>
      <c r="AK3019" s="2">
        <f t="shared" si="454"/>
        <v>27.5</v>
      </c>
      <c r="AL3019" s="5">
        <f t="shared" si="455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61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57"/>
        <v>0</v>
      </c>
      <c r="AG3020" s="2">
        <f t="shared" si="451"/>
        <v>31.6</v>
      </c>
      <c r="AJ3020" s="2">
        <f t="shared" si="458"/>
        <v>0</v>
      </c>
      <c r="AK3020" s="2">
        <f t="shared" si="454"/>
        <v>47.4</v>
      </c>
      <c r="AL3020" s="5">
        <f t="shared" si="455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61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57"/>
        <v>0</v>
      </c>
      <c r="AG3021" s="2">
        <f t="shared" si="451"/>
        <v>55</v>
      </c>
      <c r="AJ3021" s="2">
        <f t="shared" si="458"/>
        <v>0</v>
      </c>
      <c r="AK3021" s="2">
        <f t="shared" si="454"/>
        <v>55</v>
      </c>
      <c r="AL3021" s="5">
        <f t="shared" si="455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61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57"/>
        <v>0</v>
      </c>
      <c r="AG3022" s="2">
        <f t="shared" si="451"/>
        <v>138</v>
      </c>
      <c r="AJ3022" s="2">
        <f t="shared" si="458"/>
        <v>0</v>
      </c>
      <c r="AK3022" s="2">
        <f t="shared" si="454"/>
        <v>207</v>
      </c>
      <c r="AL3022" s="5">
        <f t="shared" si="455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61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57"/>
        <v>0</v>
      </c>
      <c r="AG3023" s="2">
        <f t="shared" si="451"/>
        <v>150</v>
      </c>
      <c r="AJ3023" s="2">
        <f t="shared" si="458"/>
        <v>0</v>
      </c>
      <c r="AK3023" s="2">
        <f t="shared" si="454"/>
        <v>150</v>
      </c>
      <c r="AL3023" s="5">
        <f t="shared" si="455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61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57"/>
        <v>0</v>
      </c>
      <c r="AG3024" s="2">
        <f t="shared" si="451"/>
        <v>54</v>
      </c>
      <c r="AJ3024" s="2">
        <f t="shared" si="458"/>
        <v>0</v>
      </c>
      <c r="AK3024" s="2">
        <f t="shared" si="454"/>
        <v>81</v>
      </c>
      <c r="AL3024" s="5">
        <f t="shared" si="455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61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57"/>
        <v>0</v>
      </c>
      <c r="AG3025" s="2">
        <f t="shared" si="451"/>
        <v>50</v>
      </c>
      <c r="AJ3025" s="2">
        <f t="shared" si="458"/>
        <v>0</v>
      </c>
      <c r="AK3025" s="2">
        <f t="shared" si="454"/>
        <v>50</v>
      </c>
      <c r="AL3025" s="5">
        <f t="shared" si="455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61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57"/>
        <v>0</v>
      </c>
      <c r="AG3026" s="2">
        <f t="shared" si="451"/>
        <v>24</v>
      </c>
      <c r="AJ3026" s="2">
        <f t="shared" si="458"/>
        <v>0</v>
      </c>
      <c r="AK3026" s="2">
        <f t="shared" si="454"/>
        <v>36</v>
      </c>
      <c r="AL3026" s="5">
        <f t="shared" si="455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61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57"/>
        <v>0</v>
      </c>
      <c r="AG3027" s="2">
        <f t="shared" si="451"/>
        <v>55</v>
      </c>
      <c r="AJ3027" s="2">
        <f t="shared" si="458"/>
        <v>0</v>
      </c>
      <c r="AK3027" s="2">
        <f t="shared" si="454"/>
        <v>55</v>
      </c>
      <c r="AL3027" s="5">
        <f t="shared" si="455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61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57"/>
        <v>0</v>
      </c>
      <c r="AG3028" s="2">
        <f t="shared" si="451"/>
        <v>44.800000000000004</v>
      </c>
      <c r="AJ3028" s="2">
        <f t="shared" si="458"/>
        <v>0</v>
      </c>
      <c r="AK3028" s="2">
        <f t="shared" si="454"/>
        <v>67.199999999999989</v>
      </c>
      <c r="AL3028" s="5">
        <f t="shared" si="455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61"/>
        <v>0.25</v>
      </c>
      <c r="Z3029" s="2" t="s">
        <v>169</v>
      </c>
      <c r="AA3029" s="2" t="s">
        <v>169</v>
      </c>
      <c r="AF3029" s="2">
        <f t="shared" si="457"/>
        <v>0</v>
      </c>
      <c r="AJ3029" s="2">
        <f t="shared" si="458"/>
        <v>0</v>
      </c>
      <c r="AK3029" s="2">
        <f t="shared" si="454"/>
        <v>2</v>
      </c>
      <c r="AL3029" s="5">
        <f t="shared" si="455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61"/>
        <v>-0.2</v>
      </c>
      <c r="Z3030" s="2" t="s">
        <v>169</v>
      </c>
      <c r="AA3030" s="2" t="s">
        <v>169</v>
      </c>
      <c r="AF3030" s="2">
        <f t="shared" si="457"/>
        <v>0</v>
      </c>
      <c r="AJ3030" s="2">
        <f t="shared" si="458"/>
        <v>0</v>
      </c>
      <c r="AK3030" s="2">
        <f t="shared" si="454"/>
        <v>-2</v>
      </c>
      <c r="AL3030" s="5">
        <f t="shared" si="455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1"/>
        <v>-0.2</v>
      </c>
      <c r="Z3031" s="2" t="s">
        <v>169</v>
      </c>
      <c r="AA3031" s="2" t="s">
        <v>169</v>
      </c>
      <c r="AF3031" s="2">
        <f t="shared" si="457"/>
        <v>0</v>
      </c>
      <c r="AJ3031" s="2">
        <f t="shared" si="458"/>
        <v>0</v>
      </c>
      <c r="AK3031" s="2">
        <f t="shared" si="454"/>
        <v>-1</v>
      </c>
      <c r="AL3031" s="5">
        <f t="shared" si="455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61"/>
        <v>-0.2</v>
      </c>
      <c r="Z3032" s="2" t="s">
        <v>169</v>
      </c>
      <c r="AA3032" s="2" t="s">
        <v>169</v>
      </c>
      <c r="AF3032" s="2">
        <f t="shared" si="457"/>
        <v>0</v>
      </c>
      <c r="AJ3032" s="2">
        <f t="shared" si="458"/>
        <v>0</v>
      </c>
      <c r="AK3032" s="2">
        <f t="shared" si="454"/>
        <v>-1</v>
      </c>
      <c r="AL3032" s="5">
        <f t="shared" si="455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61"/>
        <v>-0.33333333333333331</v>
      </c>
      <c r="Z3033" s="2" t="s">
        <v>169</v>
      </c>
      <c r="AA3033" s="2" t="s">
        <v>169</v>
      </c>
      <c r="AF3033" s="2">
        <f t="shared" si="457"/>
        <v>0</v>
      </c>
      <c r="AJ3033" s="2">
        <f t="shared" si="458"/>
        <v>0</v>
      </c>
      <c r="AK3033" s="2">
        <f t="shared" si="454"/>
        <v>-1.5</v>
      </c>
      <c r="AL3033" s="5">
        <f t="shared" si="455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61"/>
        <v>-0.5</v>
      </c>
      <c r="Z3034" s="2" t="s">
        <v>169</v>
      </c>
      <c r="AA3034" s="2" t="s">
        <v>169</v>
      </c>
      <c r="AF3034" s="2">
        <f t="shared" si="457"/>
        <v>0</v>
      </c>
      <c r="AJ3034" s="2">
        <f t="shared" si="458"/>
        <v>0</v>
      </c>
      <c r="AK3034" s="2">
        <f t="shared" si="454"/>
        <v>-50</v>
      </c>
      <c r="AL3034" s="5">
        <f t="shared" si="455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61"/>
        <v>0.25</v>
      </c>
      <c r="Z3035" s="2" t="s">
        <v>169</v>
      </c>
      <c r="AA3035" s="2" t="s">
        <v>169</v>
      </c>
      <c r="AF3035" s="2">
        <f t="shared" si="457"/>
        <v>0</v>
      </c>
      <c r="AJ3035" s="2">
        <f t="shared" si="458"/>
        <v>0</v>
      </c>
      <c r="AK3035" s="2">
        <f t="shared" si="454"/>
        <v>2</v>
      </c>
      <c r="AL3035" s="5">
        <f t="shared" si="455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X3036" s="18"/>
      <c r="Z3036" s="2" t="s">
        <v>119</v>
      </c>
      <c r="AA3036" s="2" t="s">
        <v>142</v>
      </c>
      <c r="AF3036" s="2">
        <f t="shared" si="457"/>
        <v>0</v>
      </c>
      <c r="AJ3036" s="2">
        <f t="shared" si="458"/>
        <v>0</v>
      </c>
      <c r="AK3036" s="2">
        <f t="shared" si="454"/>
        <v>-8.59</v>
      </c>
      <c r="AL3036" s="18"/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62">(T3037-W3037)/T3037</f>
        <v>1</v>
      </c>
      <c r="Z3037" s="2" t="s">
        <v>117</v>
      </c>
      <c r="AA3037" s="2" t="s">
        <v>1310</v>
      </c>
      <c r="AF3037" s="2">
        <f t="shared" si="457"/>
        <v>0</v>
      </c>
      <c r="AJ3037" s="2">
        <f t="shared" si="458"/>
        <v>0</v>
      </c>
      <c r="AK3037" s="2">
        <f t="shared" ref="AK3037:AK3085" si="463">T3037-W3037</f>
        <v>588.54999999999995</v>
      </c>
      <c r="AL3037" s="5">
        <f t="shared" ref="AL3037:AL3074" si="464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2"/>
        <v>#DIV/0!</v>
      </c>
      <c r="Z3038" s="2" t="s">
        <v>117</v>
      </c>
      <c r="AA3038" s="2" t="s">
        <v>1310</v>
      </c>
      <c r="AF3038" s="2">
        <f t="shared" si="457"/>
        <v>0</v>
      </c>
      <c r="AJ3038" s="2">
        <f t="shared" si="458"/>
        <v>0</v>
      </c>
      <c r="AK3038" s="2">
        <f t="shared" si="463"/>
        <v>0</v>
      </c>
      <c r="AL3038" s="5" t="e">
        <f t="shared" si="464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62"/>
        <v>#DIV/0!</v>
      </c>
      <c r="Z3039" s="2" t="s">
        <v>117</v>
      </c>
      <c r="AA3039" s="2" t="s">
        <v>1310</v>
      </c>
      <c r="AF3039" s="2">
        <f t="shared" si="457"/>
        <v>0</v>
      </c>
      <c r="AJ3039" s="2">
        <f t="shared" si="458"/>
        <v>0</v>
      </c>
      <c r="AK3039" s="2">
        <f t="shared" si="463"/>
        <v>0</v>
      </c>
      <c r="AL3039" s="5" t="e">
        <f t="shared" si="464"/>
        <v>#DIV/0!</v>
      </c>
    </row>
    <row r="3040" spans="1:38" x14ac:dyDescent="0.2">
      <c r="A3040" s="2">
        <v>2026</v>
      </c>
      <c r="B3040" s="2">
        <v>1</v>
      </c>
      <c r="C3040" s="2" t="s">
        <v>3473</v>
      </c>
      <c r="D3040" s="2" t="s">
        <v>674</v>
      </c>
      <c r="E3040" s="2" t="s">
        <v>38</v>
      </c>
      <c r="F3040" s="2" t="s">
        <v>39</v>
      </c>
      <c r="G3040" s="2">
        <v>502616695</v>
      </c>
      <c r="H3040" s="2" t="s">
        <v>40</v>
      </c>
      <c r="I3040" s="2" t="s">
        <v>1623</v>
      </c>
      <c r="J3040" s="2" t="s">
        <v>3169</v>
      </c>
      <c r="L3040" s="2" t="s">
        <v>339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62"/>
        <v>1</v>
      </c>
      <c r="Z3040" s="2" t="s">
        <v>117</v>
      </c>
      <c r="AA3040" s="2" t="s">
        <v>1310</v>
      </c>
      <c r="AF3040" s="2">
        <f t="shared" si="457"/>
        <v>0</v>
      </c>
      <c r="AJ3040" s="2">
        <f t="shared" si="458"/>
        <v>0</v>
      </c>
      <c r="AK3040" s="2">
        <f t="shared" si="463"/>
        <v>940</v>
      </c>
      <c r="AL3040" s="5">
        <f t="shared" si="464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62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57"/>
        <v>0</v>
      </c>
      <c r="AJ3041" s="2">
        <f t="shared" si="458"/>
        <v>0</v>
      </c>
      <c r="AK3041" s="2">
        <f t="shared" si="463"/>
        <v>0</v>
      </c>
      <c r="AL3041" s="5">
        <f t="shared" si="464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62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57"/>
        <v>0</v>
      </c>
      <c r="AJ3042" s="2">
        <f t="shared" si="458"/>
        <v>0</v>
      </c>
      <c r="AK3042" s="2">
        <f t="shared" si="463"/>
        <v>0</v>
      </c>
      <c r="AL3042" s="5">
        <f t="shared" si="464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2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57"/>
        <v>0</v>
      </c>
      <c r="AJ3043" s="2">
        <f t="shared" si="458"/>
        <v>0</v>
      </c>
      <c r="AK3043" s="2">
        <f t="shared" si="463"/>
        <v>0</v>
      </c>
      <c r="AL3043" s="5">
        <f t="shared" si="464"/>
        <v>0</v>
      </c>
    </row>
    <row r="3044" spans="1:38" x14ac:dyDescent="0.2">
      <c r="A3044" s="2">
        <v>2026</v>
      </c>
      <c r="B3044" s="2">
        <v>1</v>
      </c>
      <c r="C3044" s="2" t="s">
        <v>3451</v>
      </c>
      <c r="D3044" s="2" t="s">
        <v>198</v>
      </c>
      <c r="E3044" s="2" t="s">
        <v>108</v>
      </c>
      <c r="F3044" s="2" t="s">
        <v>39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2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57"/>
        <v>0</v>
      </c>
      <c r="AJ3044" s="2">
        <f t="shared" si="458"/>
        <v>0</v>
      </c>
      <c r="AK3044" s="2">
        <f t="shared" si="463"/>
        <v>0</v>
      </c>
      <c r="AL3044" s="5">
        <f t="shared" si="464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62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57"/>
        <v>0</v>
      </c>
      <c r="AJ3045" s="2">
        <f t="shared" si="458"/>
        <v>0</v>
      </c>
      <c r="AK3045" s="2">
        <f t="shared" si="463"/>
        <v>0</v>
      </c>
      <c r="AL3045" s="5">
        <f t="shared" si="464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62"/>
        <v>0</v>
      </c>
      <c r="Z3046" s="2" t="s">
        <v>3226</v>
      </c>
      <c r="AA3046" s="2" t="s">
        <v>96</v>
      </c>
      <c r="AB3046" s="2" t="s">
        <v>76</v>
      </c>
      <c r="AC3046" s="2" t="s">
        <v>93</v>
      </c>
      <c r="AF3046" s="2">
        <f t="shared" si="457"/>
        <v>0</v>
      </c>
      <c r="AJ3046" s="2">
        <f t="shared" si="458"/>
        <v>0</v>
      </c>
      <c r="AK3046" s="2">
        <f t="shared" si="463"/>
        <v>0</v>
      </c>
      <c r="AL3046" s="5">
        <f t="shared" si="464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62"/>
        <v>0.49849305555555556</v>
      </c>
      <c r="Z3047" s="2" t="s">
        <v>3226</v>
      </c>
      <c r="AA3047" s="2" t="s">
        <v>46</v>
      </c>
      <c r="AB3047" s="2" t="s">
        <v>56</v>
      </c>
      <c r="AC3047" s="2" t="s">
        <v>57</v>
      </c>
      <c r="AF3047" s="2">
        <f t="shared" si="457"/>
        <v>0</v>
      </c>
      <c r="AG3047" s="2">
        <v>7.2217000000000002</v>
      </c>
      <c r="AH3047" s="2">
        <v>14.4</v>
      </c>
      <c r="AJ3047" s="2">
        <f t="shared" si="458"/>
        <v>0</v>
      </c>
      <c r="AK3047" s="2">
        <f t="shared" si="463"/>
        <v>7.1783000000000001</v>
      </c>
      <c r="AL3047" s="5">
        <f t="shared" si="464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2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57"/>
        <v>0</v>
      </c>
      <c r="AG3048" s="2">
        <v>1.48</v>
      </c>
      <c r="AH3048" s="2">
        <v>1.48</v>
      </c>
      <c r="AJ3048" s="2">
        <f t="shared" si="458"/>
        <v>0</v>
      </c>
      <c r="AK3048" s="2">
        <f t="shared" si="463"/>
        <v>0</v>
      </c>
      <c r="AL3048" s="5">
        <f t="shared" si="464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62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57"/>
        <v>0</v>
      </c>
      <c r="AJ3049" s="2">
        <f t="shared" si="458"/>
        <v>0</v>
      </c>
      <c r="AK3049" s="2">
        <f t="shared" si="463"/>
        <v>0</v>
      </c>
      <c r="AL3049" s="5">
        <f t="shared" si="464"/>
        <v>0</v>
      </c>
    </row>
    <row r="3050" spans="1:38" x14ac:dyDescent="0.2">
      <c r="A3050" s="2">
        <v>2026</v>
      </c>
      <c r="B3050" s="2">
        <v>1</v>
      </c>
      <c r="C3050" s="2" t="s">
        <v>3326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62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57"/>
        <v>0</v>
      </c>
      <c r="AJ3050" s="2">
        <f t="shared" si="458"/>
        <v>0</v>
      </c>
      <c r="AK3050" s="2">
        <f t="shared" si="463"/>
        <v>0</v>
      </c>
      <c r="AL3050" s="5">
        <f t="shared" si="464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62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57"/>
        <v>0</v>
      </c>
      <c r="AJ3051" s="2">
        <f t="shared" si="458"/>
        <v>0</v>
      </c>
      <c r="AK3051" s="2">
        <f t="shared" si="463"/>
        <v>0</v>
      </c>
      <c r="AL3051" s="5">
        <f t="shared" si="464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2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57"/>
        <v>0</v>
      </c>
      <c r="AJ3052" s="2">
        <f t="shared" si="458"/>
        <v>0</v>
      </c>
      <c r="AK3052" s="2">
        <f t="shared" si="463"/>
        <v>0</v>
      </c>
      <c r="AL3052" s="5">
        <f t="shared" si="464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2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57"/>
        <v>0</v>
      </c>
      <c r="AJ3053" s="2">
        <f t="shared" si="458"/>
        <v>0</v>
      </c>
      <c r="AK3053" s="2">
        <f t="shared" si="463"/>
        <v>0</v>
      </c>
      <c r="AL3053" s="5">
        <f t="shared" si="464"/>
        <v>0</v>
      </c>
    </row>
    <row r="3054" spans="1:38" x14ac:dyDescent="0.2">
      <c r="A3054" s="2">
        <v>2026</v>
      </c>
      <c r="B3054" s="2">
        <v>1</v>
      </c>
      <c r="C3054" s="2" t="s">
        <v>3326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62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57"/>
        <v>0</v>
      </c>
      <c r="AG3054" s="2">
        <v>1.48</v>
      </c>
      <c r="AH3054" s="2">
        <v>1.48</v>
      </c>
      <c r="AJ3054" s="2">
        <f t="shared" si="458"/>
        <v>0</v>
      </c>
      <c r="AK3054" s="2">
        <f t="shared" si="463"/>
        <v>0</v>
      </c>
      <c r="AL3054" s="5">
        <f t="shared" si="464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62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57"/>
        <v>0</v>
      </c>
      <c r="AJ3055" s="2">
        <f t="shared" si="458"/>
        <v>0</v>
      </c>
      <c r="AK3055" s="2">
        <f t="shared" si="463"/>
        <v>0</v>
      </c>
      <c r="AL3055" s="5">
        <f t="shared" si="464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2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57"/>
        <v>0</v>
      </c>
      <c r="AJ3056" s="2">
        <f t="shared" si="458"/>
        <v>0</v>
      </c>
      <c r="AK3056" s="2">
        <f t="shared" si="463"/>
        <v>0</v>
      </c>
      <c r="AL3056" s="5">
        <f t="shared" si="464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2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57"/>
        <v>0</v>
      </c>
      <c r="AJ3057" s="2">
        <f t="shared" si="458"/>
        <v>0</v>
      </c>
      <c r="AK3057" s="2">
        <f t="shared" si="463"/>
        <v>0</v>
      </c>
      <c r="AL3057" s="5">
        <f t="shared" si="464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2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57"/>
        <v>0</v>
      </c>
      <c r="AG3058" s="2">
        <v>1.48</v>
      </c>
      <c r="AH3058" s="2">
        <v>1.48</v>
      </c>
      <c r="AJ3058" s="2">
        <f t="shared" si="458"/>
        <v>0</v>
      </c>
      <c r="AK3058" s="2">
        <f t="shared" si="463"/>
        <v>0</v>
      </c>
      <c r="AL3058" s="5">
        <f t="shared" si="464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2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57"/>
        <v>0</v>
      </c>
      <c r="AJ3059" s="2">
        <f t="shared" si="458"/>
        <v>0</v>
      </c>
      <c r="AK3059" s="2">
        <f t="shared" si="463"/>
        <v>0</v>
      </c>
      <c r="AL3059" s="5">
        <f t="shared" si="464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2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57"/>
        <v>0</v>
      </c>
      <c r="AJ3060" s="2">
        <f t="shared" si="458"/>
        <v>0</v>
      </c>
      <c r="AK3060" s="2">
        <f t="shared" si="463"/>
        <v>0</v>
      </c>
      <c r="AL3060" s="5">
        <f t="shared" si="464"/>
        <v>0</v>
      </c>
    </row>
    <row r="3061" spans="1:38" x14ac:dyDescent="0.2">
      <c r="A3061" s="2">
        <v>2026</v>
      </c>
      <c r="B3061" s="2">
        <v>1</v>
      </c>
      <c r="C3061" s="2" t="s">
        <v>3326</v>
      </c>
      <c r="D3061" s="2" t="s">
        <v>1073</v>
      </c>
      <c r="E3061" s="2" t="s">
        <v>108</v>
      </c>
      <c r="F3061" s="2" t="s">
        <v>39</v>
      </c>
      <c r="L3061" s="2" t="s">
        <v>461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2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57"/>
        <v>0</v>
      </c>
      <c r="AJ3061" s="2">
        <f t="shared" si="458"/>
        <v>0</v>
      </c>
      <c r="AK3061" s="2">
        <f t="shared" si="463"/>
        <v>0</v>
      </c>
      <c r="AL3061" s="5">
        <f t="shared" si="464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2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57"/>
        <v>0</v>
      </c>
      <c r="AJ3062" s="2">
        <f t="shared" si="458"/>
        <v>0</v>
      </c>
      <c r="AK3062" s="2">
        <f t="shared" si="463"/>
        <v>0</v>
      </c>
      <c r="AL3062" s="5">
        <f t="shared" si="464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2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57"/>
        <v>0</v>
      </c>
      <c r="AJ3063" s="2">
        <f t="shared" si="458"/>
        <v>0</v>
      </c>
      <c r="AK3063" s="2">
        <f t="shared" si="463"/>
        <v>0</v>
      </c>
      <c r="AL3063" s="5">
        <f t="shared" si="464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2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57"/>
        <v>0</v>
      </c>
      <c r="AG3064" s="2">
        <v>1.48</v>
      </c>
      <c r="AH3064" s="2">
        <v>1.48</v>
      </c>
      <c r="AJ3064" s="2">
        <f t="shared" si="458"/>
        <v>0</v>
      </c>
      <c r="AK3064" s="2">
        <f t="shared" si="463"/>
        <v>0</v>
      </c>
      <c r="AL3064" s="5">
        <f t="shared" si="464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2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57"/>
        <v>0</v>
      </c>
      <c r="AJ3065" s="2">
        <f t="shared" si="458"/>
        <v>0</v>
      </c>
      <c r="AK3065" s="2">
        <f t="shared" si="463"/>
        <v>0</v>
      </c>
      <c r="AL3065" s="5">
        <f t="shared" si="464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2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57"/>
        <v>0</v>
      </c>
      <c r="AJ3066" s="2">
        <f t="shared" si="458"/>
        <v>0</v>
      </c>
      <c r="AK3066" s="2">
        <f t="shared" si="463"/>
        <v>0</v>
      </c>
      <c r="AL3066" s="5">
        <f t="shared" si="464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2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57"/>
        <v>0</v>
      </c>
      <c r="AJ3067" s="2">
        <f t="shared" si="458"/>
        <v>0</v>
      </c>
      <c r="AK3067" s="2">
        <f t="shared" si="463"/>
        <v>0</v>
      </c>
      <c r="AL3067" s="5">
        <f t="shared" si="464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F3068" s="2" t="s">
        <v>39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2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57"/>
        <v>0</v>
      </c>
      <c r="AJ3068" s="2">
        <f t="shared" si="458"/>
        <v>0</v>
      </c>
      <c r="AK3068" s="2">
        <f t="shared" si="463"/>
        <v>0</v>
      </c>
      <c r="AL3068" s="5">
        <f t="shared" si="464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2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57"/>
        <v>0</v>
      </c>
      <c r="AJ3069" s="2">
        <f t="shared" si="458"/>
        <v>0</v>
      </c>
      <c r="AK3069" s="2">
        <f t="shared" si="463"/>
        <v>0</v>
      </c>
      <c r="AL3069" s="5">
        <f t="shared" si="464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2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57"/>
        <v>0</v>
      </c>
      <c r="AG3070" s="2">
        <v>1.48</v>
      </c>
      <c r="AH3070" s="2">
        <v>1.48</v>
      </c>
      <c r="AJ3070" s="2">
        <f t="shared" si="458"/>
        <v>0</v>
      </c>
      <c r="AK3070" s="2">
        <f t="shared" si="463"/>
        <v>0</v>
      </c>
      <c r="AL3070" s="5">
        <f t="shared" si="464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2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57"/>
        <v>0</v>
      </c>
      <c r="AJ3071" s="2">
        <f t="shared" si="458"/>
        <v>0</v>
      </c>
      <c r="AK3071" s="2">
        <f t="shared" si="463"/>
        <v>0</v>
      </c>
      <c r="AL3071" s="5">
        <f t="shared" si="464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2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57"/>
        <v>0</v>
      </c>
      <c r="AJ3072" s="2">
        <f t="shared" si="458"/>
        <v>0</v>
      </c>
      <c r="AK3072" s="2">
        <f t="shared" si="463"/>
        <v>0</v>
      </c>
      <c r="AL3072" s="5">
        <f t="shared" si="464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62"/>
        <v>0</v>
      </c>
      <c r="Z3073" s="2" t="s">
        <v>3226</v>
      </c>
      <c r="AA3073" s="2" t="s">
        <v>96</v>
      </c>
      <c r="AB3073" s="2" t="s">
        <v>76</v>
      </c>
      <c r="AC3073" s="2" t="s">
        <v>93</v>
      </c>
      <c r="AF3073" s="2">
        <f t="shared" si="457"/>
        <v>0</v>
      </c>
      <c r="AJ3073" s="2">
        <f t="shared" si="458"/>
        <v>0</v>
      </c>
      <c r="AK3073" s="2">
        <f t="shared" si="463"/>
        <v>0</v>
      </c>
      <c r="AL3073" s="5">
        <f t="shared" si="464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18"/>
      <c r="Z3074" s="2" t="s">
        <v>117</v>
      </c>
      <c r="AA3074" s="2" t="s">
        <v>317</v>
      </c>
      <c r="AF3074" s="2">
        <f t="shared" ref="AF3074:AF3137" si="465">AJ3074</f>
        <v>0</v>
      </c>
      <c r="AJ3074" s="2">
        <f t="shared" ref="AJ3074:AJ3137" si="466">AI3074*T3074</f>
        <v>0</v>
      </c>
      <c r="AK3074" s="2">
        <f t="shared" si="463"/>
        <v>0</v>
      </c>
      <c r="AL3074" s="18"/>
    </row>
    <row r="3075" spans="1:38" x14ac:dyDescent="0.2">
      <c r="A3075" s="2">
        <v>2026</v>
      </c>
      <c r="B3075" s="2">
        <v>1</v>
      </c>
      <c r="C3075" s="2" t="s">
        <v>3451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65"/>
        <v>0</v>
      </c>
      <c r="AJ3075" s="2">
        <f t="shared" si="466"/>
        <v>0</v>
      </c>
      <c r="AK3075" s="2">
        <f t="shared" si="463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67">(T3076-W3076)/T3076</f>
        <v>1</v>
      </c>
      <c r="Z3076" s="2" t="s">
        <v>119</v>
      </c>
      <c r="AA3076" s="2" t="s">
        <v>3379</v>
      </c>
      <c r="AF3076" s="2">
        <f t="shared" si="465"/>
        <v>0</v>
      </c>
      <c r="AJ3076" s="2">
        <f t="shared" si="466"/>
        <v>0</v>
      </c>
      <c r="AK3076" s="2">
        <f t="shared" si="463"/>
        <v>2.4500000000000002</v>
      </c>
      <c r="AL3076" s="5">
        <f t="shared" ref="AL3076:AL3084" si="468">(T3076-W3076)/T3076</f>
        <v>1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67"/>
        <v>1</v>
      </c>
      <c r="Z3077" s="2" t="s">
        <v>117</v>
      </c>
      <c r="AA3077" s="2" t="s">
        <v>118</v>
      </c>
      <c r="AF3077" s="2">
        <f t="shared" si="465"/>
        <v>0</v>
      </c>
      <c r="AJ3077" s="2">
        <f t="shared" si="466"/>
        <v>0</v>
      </c>
      <c r="AK3077" s="2">
        <f t="shared" si="463"/>
        <v>2296.8000000000002</v>
      </c>
      <c r="AL3077" s="5">
        <f t="shared" si="468"/>
        <v>1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67"/>
        <v>1</v>
      </c>
      <c r="Z3078" s="2" t="s">
        <v>3226</v>
      </c>
      <c r="AA3078" s="2" t="s">
        <v>119</v>
      </c>
      <c r="AF3078" s="2">
        <f t="shared" si="465"/>
        <v>0</v>
      </c>
      <c r="AJ3078" s="2">
        <f t="shared" si="466"/>
        <v>0</v>
      </c>
      <c r="AK3078" s="2">
        <f t="shared" si="463"/>
        <v>267.8</v>
      </c>
      <c r="AL3078" s="5">
        <f t="shared" si="468"/>
        <v>1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67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5"/>
        <v>0</v>
      </c>
      <c r="AG3079" s="2">
        <v>5.35</v>
      </c>
      <c r="AJ3079" s="2">
        <f t="shared" si="466"/>
        <v>0</v>
      </c>
      <c r="AK3079" s="2">
        <f t="shared" si="463"/>
        <v>5.9</v>
      </c>
      <c r="AL3079" s="5">
        <f t="shared" si="468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67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5"/>
        <v>0</v>
      </c>
      <c r="AG3080" s="2">
        <v>136.38999999999999</v>
      </c>
      <c r="AJ3080" s="2">
        <f t="shared" si="466"/>
        <v>0</v>
      </c>
      <c r="AK3080" s="2">
        <f t="shared" si="463"/>
        <v>145.72000000000003</v>
      </c>
      <c r="AL3080" s="5">
        <f t="shared" si="468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67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5"/>
        <v>0</v>
      </c>
      <c r="AG3081" s="2">
        <v>17.9434</v>
      </c>
      <c r="AJ3081" s="2">
        <f t="shared" si="466"/>
        <v>0</v>
      </c>
      <c r="AK3081" s="2">
        <f t="shared" si="463"/>
        <v>21.106599999999997</v>
      </c>
      <c r="AL3081" s="5">
        <f t="shared" si="468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67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5"/>
        <v>0</v>
      </c>
      <c r="AG3082" s="2">
        <v>25.157499999999999</v>
      </c>
      <c r="AJ3082" s="2">
        <f t="shared" si="466"/>
        <v>0</v>
      </c>
      <c r="AK3082" s="2">
        <f t="shared" si="463"/>
        <v>26.452500000000001</v>
      </c>
      <c r="AL3082" s="5">
        <f t="shared" si="468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67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5"/>
        <v>0</v>
      </c>
      <c r="AG3083" s="2">
        <v>27.86</v>
      </c>
      <c r="AJ3083" s="2">
        <f t="shared" si="466"/>
        <v>0</v>
      </c>
      <c r="AK3083" s="2">
        <f t="shared" si="463"/>
        <v>61.769999999999996</v>
      </c>
      <c r="AL3083" s="5">
        <f t="shared" si="468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67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5"/>
        <v>0</v>
      </c>
      <c r="AG3084" s="2">
        <v>7.2733999999999996</v>
      </c>
      <c r="AJ3084" s="2">
        <f t="shared" si="466"/>
        <v>0</v>
      </c>
      <c r="AK3084" s="2">
        <f t="shared" si="463"/>
        <v>5.6866000000000012</v>
      </c>
      <c r="AL3084" s="5">
        <f t="shared" si="468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W3085" s="2">
        <v>11.246600000000001</v>
      </c>
      <c r="X3085" s="18">
        <f>SIGN(T3085)*((ABS(T3085)-W3085)/ABS(T3085))</f>
        <v>-0.66256825682568254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5"/>
        <v>0</v>
      </c>
      <c r="AG3085" s="2">
        <v>11.246700000000001</v>
      </c>
      <c r="AJ3085" s="2">
        <f t="shared" si="466"/>
        <v>0</v>
      </c>
      <c r="AK3085" s="2">
        <f t="shared" si="463"/>
        <v>-44.576599999999999</v>
      </c>
      <c r="AL3085" s="18">
        <f t="shared" ref="AL3085" si="469">SIGN(T3085)*((ABS(T3085)-W3085)/ABS(T3085))</f>
        <v>-0.66256825682568254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3122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5"/>
        <v>0</v>
      </c>
      <c r="AG3086" s="2">
        <v>11.246700000000001</v>
      </c>
      <c r="AJ3086" s="2">
        <f t="shared" si="466"/>
        <v>0</v>
      </c>
      <c r="AK3086" s="2">
        <f t="shared" ref="AK3086:AK3099" si="470">T3086-W3086</f>
        <v>12.543299999999999</v>
      </c>
      <c r="AL3086" s="5">
        <f t="shared" ref="AL3086:AL3098" si="47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5"/>
        <v>0</v>
      </c>
      <c r="AG3087" s="2">
        <v>38.56</v>
      </c>
      <c r="AJ3087" s="2">
        <f t="shared" si="466"/>
        <v>0</v>
      </c>
      <c r="AK3087" s="2">
        <f t="shared" si="470"/>
        <v>28.289999999999992</v>
      </c>
      <c r="AL3087" s="5">
        <f t="shared" si="471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5"/>
        <v>0</v>
      </c>
      <c r="AG3088" s="2">
        <v>84.95</v>
      </c>
      <c r="AJ3088" s="2">
        <f t="shared" si="466"/>
        <v>0</v>
      </c>
      <c r="AK3088" s="2">
        <f t="shared" si="470"/>
        <v>66.95</v>
      </c>
      <c r="AL3088" s="5">
        <f t="shared" si="471"/>
        <v>0.44075049374588543</v>
      </c>
    </row>
    <row r="3089" spans="1:38" x14ac:dyDescent="0.2">
      <c r="A3089" s="2">
        <v>2026</v>
      </c>
      <c r="B3089" s="2">
        <v>2</v>
      </c>
      <c r="C3089" s="2" t="s">
        <v>3454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5"/>
        <v>0</v>
      </c>
      <c r="AG3089" s="2">
        <v>314.88499999999999</v>
      </c>
      <c r="AJ3089" s="2">
        <f t="shared" si="466"/>
        <v>0</v>
      </c>
      <c r="AK3089" s="2">
        <f t="shared" si="470"/>
        <v>229.67499999999995</v>
      </c>
      <c r="AL3089" s="5">
        <f t="shared" si="471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W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5"/>
        <v>0</v>
      </c>
      <c r="AJ3090" s="2">
        <f t="shared" si="466"/>
        <v>0</v>
      </c>
      <c r="AK3090" s="2">
        <f t="shared" si="470"/>
        <v>0</v>
      </c>
      <c r="AL3090" s="5">
        <v>0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72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65"/>
        <v>0</v>
      </c>
      <c r="AG3091" s="2">
        <v>246.77</v>
      </c>
      <c r="AJ3091" s="2">
        <f t="shared" si="466"/>
        <v>0</v>
      </c>
      <c r="AK3091" s="2">
        <f t="shared" si="470"/>
        <v>271.52</v>
      </c>
      <c r="AL3091" s="5">
        <f t="shared" si="471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3114</v>
      </c>
      <c r="J3092" s="2" t="s">
        <v>3115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72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5"/>
        <v>0</v>
      </c>
      <c r="AG3092" s="2">
        <v>615.6</v>
      </c>
      <c r="AJ3092" s="2">
        <f t="shared" si="466"/>
        <v>0</v>
      </c>
      <c r="AK3092" s="2">
        <f t="shared" si="470"/>
        <v>174.39999999999998</v>
      </c>
      <c r="AL3092" s="5">
        <f t="shared" si="471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72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65"/>
        <v>0</v>
      </c>
      <c r="AG3093" s="2">
        <f>14.4+0.27</f>
        <v>14.67</v>
      </c>
      <c r="AJ3093" s="2">
        <f t="shared" si="466"/>
        <v>0</v>
      </c>
      <c r="AK3093" s="2">
        <f t="shared" si="470"/>
        <v>30.509999999999998</v>
      </c>
      <c r="AL3093" s="5">
        <f t="shared" si="471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3122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72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5"/>
        <v>0</v>
      </c>
      <c r="AG3094" s="2">
        <v>37.96</v>
      </c>
      <c r="AJ3094" s="2">
        <f t="shared" si="466"/>
        <v>0</v>
      </c>
      <c r="AK3094" s="2">
        <f t="shared" si="470"/>
        <v>39.520000000000003</v>
      </c>
      <c r="AL3094" s="5">
        <f t="shared" si="471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72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65"/>
        <v>0</v>
      </c>
      <c r="AG3095" s="2">
        <v>222.18</v>
      </c>
      <c r="AJ3095" s="2">
        <f t="shared" si="466"/>
        <v>0</v>
      </c>
      <c r="AK3095" s="2">
        <f t="shared" si="470"/>
        <v>244.39999999999998</v>
      </c>
      <c r="AL3095" s="5">
        <f t="shared" si="471"/>
        <v>0.52381156500492942</v>
      </c>
    </row>
    <row r="3096" spans="1:38" x14ac:dyDescent="0.2">
      <c r="A3096" s="2">
        <v>2026</v>
      </c>
      <c r="B3096" s="2">
        <v>2</v>
      </c>
      <c r="C3096" s="2" t="s">
        <v>3454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72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5"/>
        <v>0</v>
      </c>
      <c r="AG3096" s="2">
        <v>342.22</v>
      </c>
      <c r="AJ3096" s="2">
        <f t="shared" si="466"/>
        <v>0</v>
      </c>
      <c r="AK3096" s="2">
        <f t="shared" si="470"/>
        <v>120.4966</v>
      </c>
      <c r="AL3096" s="5">
        <f t="shared" si="471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72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5"/>
        <v>0</v>
      </c>
      <c r="AG3097" s="2">
        <v>343.38569999999999</v>
      </c>
      <c r="AJ3097" s="2">
        <f t="shared" si="466"/>
        <v>0</v>
      </c>
      <c r="AK3097" s="2">
        <f t="shared" si="470"/>
        <v>355.72999999999996</v>
      </c>
      <c r="AL3097" s="5">
        <f t="shared" si="471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72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5"/>
        <v>0</v>
      </c>
      <c r="AG3098" s="2">
        <v>343.38569999999999</v>
      </c>
      <c r="AJ3098" s="2">
        <f t="shared" si="466"/>
        <v>0</v>
      </c>
      <c r="AK3098" s="2">
        <f t="shared" si="470"/>
        <v>511.62860000000001</v>
      </c>
      <c r="AL3098" s="5">
        <f t="shared" si="471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X3099" s="18">
        <f>SIGN(T3099)*((ABS(T3099)-W3099)/ABS(T3099))</f>
        <v>-0.50440440440440437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5"/>
        <v>0</v>
      </c>
      <c r="AG3099" s="2">
        <v>343.38569999999999</v>
      </c>
      <c r="AJ3099" s="2">
        <f t="shared" si="466"/>
        <v>0</v>
      </c>
      <c r="AK3099" s="2">
        <f t="shared" si="470"/>
        <v>-1045.8699999999999</v>
      </c>
      <c r="AL3099" s="18">
        <f t="shared" ref="AL3099" si="473">SIGN(T3099)*((ABS(T3099)-W3099)/ABS(T3099))</f>
        <v>-0.50440440440440437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74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65"/>
        <v>0</v>
      </c>
      <c r="AG3100" s="2">
        <v>343.38569999999999</v>
      </c>
      <c r="AJ3100" s="2">
        <f t="shared" si="466"/>
        <v>0</v>
      </c>
      <c r="AK3100" s="2">
        <f t="shared" ref="AK3100:AK3131" si="475">T3100-W3100</f>
        <v>352.72999999999996</v>
      </c>
      <c r="AL3100" s="5">
        <f t="shared" ref="AL3100:AL3109" si="476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74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65"/>
        <v>0</v>
      </c>
      <c r="AG3101" s="2">
        <f>868.26+3.61</f>
        <v>871.87</v>
      </c>
      <c r="AJ3101" s="2">
        <f t="shared" si="466"/>
        <v>0</v>
      </c>
      <c r="AK3101" s="2">
        <f t="shared" si="475"/>
        <v>729.11</v>
      </c>
      <c r="AL3101" s="5">
        <f t="shared" si="476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74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5"/>
        <v>0</v>
      </c>
      <c r="AG3102" s="2">
        <v>102.88249999999999</v>
      </c>
      <c r="AJ3102" s="2">
        <f t="shared" si="466"/>
        <v>0</v>
      </c>
      <c r="AK3102" s="2">
        <f t="shared" si="475"/>
        <v>112.075</v>
      </c>
      <c r="AL3102" s="5">
        <f t="shared" si="476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74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5"/>
        <v>0</v>
      </c>
      <c r="AG3103" s="2">
        <v>15</v>
      </c>
      <c r="AJ3103" s="2">
        <f t="shared" si="466"/>
        <v>0</v>
      </c>
      <c r="AK3103" s="2">
        <f t="shared" si="475"/>
        <v>13.350000000000001</v>
      </c>
      <c r="AL3103" s="5">
        <f t="shared" si="476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74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65"/>
        <v>0</v>
      </c>
      <c r="AG3104" s="2">
        <v>43.23</v>
      </c>
      <c r="AJ3104" s="2">
        <f t="shared" si="466"/>
        <v>0</v>
      </c>
      <c r="AK3104" s="2">
        <f t="shared" si="475"/>
        <v>44.07</v>
      </c>
      <c r="AL3104" s="5">
        <f t="shared" si="476"/>
        <v>0.50481099656357387</v>
      </c>
    </row>
    <row r="3105" spans="1:38" x14ac:dyDescent="0.2">
      <c r="A3105" s="2">
        <v>2026</v>
      </c>
      <c r="B3105" s="2">
        <v>2</v>
      </c>
      <c r="C3105" s="2" t="s">
        <v>3320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74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65"/>
        <v>0</v>
      </c>
      <c r="AJ3105" s="2">
        <f t="shared" si="466"/>
        <v>0</v>
      </c>
      <c r="AK3105" s="2">
        <f t="shared" si="475"/>
        <v>349.77</v>
      </c>
      <c r="AL3105" s="5">
        <f t="shared" si="476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74"/>
        <v>1</v>
      </c>
      <c r="Z3106" s="2" t="s">
        <v>117</v>
      </c>
      <c r="AF3106" s="2">
        <f t="shared" si="465"/>
        <v>0</v>
      </c>
      <c r="AJ3106" s="2">
        <f t="shared" si="466"/>
        <v>0</v>
      </c>
      <c r="AK3106" s="2">
        <f t="shared" si="475"/>
        <v>60.1</v>
      </c>
      <c r="AL3106" s="5">
        <f t="shared" si="476"/>
        <v>1</v>
      </c>
    </row>
    <row r="3107" spans="1:38" x14ac:dyDescent="0.2">
      <c r="A3107" s="2">
        <v>2026</v>
      </c>
      <c r="B3107" s="2">
        <v>2</v>
      </c>
      <c r="C3107" s="2" t="s">
        <v>3320</v>
      </c>
      <c r="D3107" s="2" t="s">
        <v>2442</v>
      </c>
      <c r="E3107" s="2" t="s">
        <v>108</v>
      </c>
      <c r="F3107" s="2" t="s">
        <v>39</v>
      </c>
      <c r="L3107" s="2" t="s">
        <v>398</v>
      </c>
      <c r="M3107" s="2" t="s">
        <v>40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W3107" s="2">
        <f>1191.84+22.08</f>
        <v>1213.9199999999998</v>
      </c>
      <c r="X3107" s="5">
        <f t="shared" si="474"/>
        <v>0.67665876461657304</v>
      </c>
      <c r="Z3107" s="2" t="s">
        <v>117</v>
      </c>
      <c r="AA3107" s="2" t="s">
        <v>118</v>
      </c>
      <c r="AB3107" s="2" t="s">
        <v>119</v>
      </c>
      <c r="AC3107" s="2" t="s">
        <v>114</v>
      </c>
      <c r="AF3107" s="2">
        <f t="shared" si="465"/>
        <v>0</v>
      </c>
      <c r="AJ3107" s="2">
        <f t="shared" si="466"/>
        <v>0</v>
      </c>
      <c r="AK3107" s="2">
        <f t="shared" si="475"/>
        <v>2540.38</v>
      </c>
      <c r="AL3107" s="5">
        <f t="shared" si="476"/>
        <v>0.67665876461657304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74"/>
        <v>1</v>
      </c>
      <c r="Z3108" s="2" t="s">
        <v>117</v>
      </c>
      <c r="AF3108" s="2">
        <f t="shared" si="465"/>
        <v>0</v>
      </c>
      <c r="AJ3108" s="2">
        <f t="shared" si="466"/>
        <v>0</v>
      </c>
      <c r="AK3108" s="2">
        <f t="shared" si="475"/>
        <v>79.47</v>
      </c>
      <c r="AL3108" s="5">
        <f t="shared" si="476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74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65"/>
        <v>0</v>
      </c>
      <c r="AG3109" s="2">
        <v>25.2</v>
      </c>
      <c r="AJ3109" s="2">
        <f t="shared" si="466"/>
        <v>0</v>
      </c>
      <c r="AK3109" s="2">
        <f t="shared" si="475"/>
        <v>54.269999999999996</v>
      </c>
      <c r="AL3109" s="5">
        <f t="shared" si="476"/>
        <v>0.68289920724801811</v>
      </c>
    </row>
    <row r="3110" spans="1:38" x14ac:dyDescent="0.2">
      <c r="A3110" s="2">
        <v>2026</v>
      </c>
      <c r="B3110" s="2">
        <v>2</v>
      </c>
      <c r="C3110" s="2" t="s">
        <v>3320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65"/>
        <v>0</v>
      </c>
      <c r="AJ3110" s="2">
        <f t="shared" si="466"/>
        <v>0</v>
      </c>
      <c r="AK3110" s="2">
        <f t="shared" si="475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77">(T3111-W3111)/T3111</f>
        <v>1</v>
      </c>
      <c r="Z3111" s="2" t="s">
        <v>117</v>
      </c>
      <c r="AF3111" s="2">
        <f t="shared" si="465"/>
        <v>0</v>
      </c>
      <c r="AJ3111" s="2">
        <f t="shared" si="466"/>
        <v>0</v>
      </c>
      <c r="AK3111" s="2">
        <f t="shared" si="475"/>
        <v>1594.72</v>
      </c>
      <c r="AL3111" s="5">
        <f t="shared" ref="AL3111:AL3129" si="478">(T3111-W3111)/T3111</f>
        <v>1</v>
      </c>
    </row>
    <row r="3112" spans="1:38" x14ac:dyDescent="0.2">
      <c r="A3112" s="2">
        <v>2026</v>
      </c>
      <c r="B3112" s="2">
        <v>2</v>
      </c>
      <c r="C3112" s="2" t="s">
        <v>3320</v>
      </c>
      <c r="D3112" s="2" t="s">
        <v>3242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77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5"/>
        <v>0</v>
      </c>
      <c r="AG3112" s="2">
        <v>7437.5950000000003</v>
      </c>
      <c r="AJ3112" s="2">
        <f t="shared" si="466"/>
        <v>0</v>
      </c>
      <c r="AK3112" s="2">
        <f t="shared" si="475"/>
        <v>4552.4049999999997</v>
      </c>
      <c r="AL3112" s="5">
        <f t="shared" si="478"/>
        <v>0.3796834862385321</v>
      </c>
    </row>
    <row r="3113" spans="1:38" x14ac:dyDescent="0.2">
      <c r="A3113" s="2">
        <v>2026</v>
      </c>
      <c r="B3113" s="2">
        <v>2</v>
      </c>
      <c r="C3113" s="2" t="s">
        <v>3320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77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65"/>
        <v>0</v>
      </c>
      <c r="AJ3113" s="2">
        <f t="shared" si="466"/>
        <v>0</v>
      </c>
      <c r="AK3113" s="2">
        <f t="shared" si="475"/>
        <v>4400.1200000000008</v>
      </c>
      <c r="AL3113" s="5">
        <f t="shared" si="478"/>
        <v>0.31451894210150111</v>
      </c>
    </row>
    <row r="3114" spans="1:38" x14ac:dyDescent="0.2">
      <c r="A3114" s="2">
        <v>2026</v>
      </c>
      <c r="B3114" s="2">
        <v>1</v>
      </c>
      <c r="C3114" s="2" t="s">
        <v>3326</v>
      </c>
      <c r="D3114" s="2" t="s">
        <v>3241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77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5"/>
        <v>0</v>
      </c>
      <c r="AG3114" s="2">
        <f>6193.4+275.33</f>
        <v>6468.73</v>
      </c>
      <c r="AJ3114" s="2">
        <f t="shared" si="466"/>
        <v>0</v>
      </c>
      <c r="AK3114" s="2">
        <f t="shared" si="475"/>
        <v>2461.2700000000004</v>
      </c>
      <c r="AL3114" s="5">
        <f t="shared" si="478"/>
        <v>0.27561814109742444</v>
      </c>
    </row>
    <row r="3115" spans="1:38" x14ac:dyDescent="0.2">
      <c r="A3115" s="2">
        <v>2026</v>
      </c>
      <c r="B3115" s="2">
        <v>2</v>
      </c>
      <c r="C3115" s="2" t="s">
        <v>3320</v>
      </c>
      <c r="D3115" s="2" t="s">
        <v>3243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77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5"/>
        <v>0</v>
      </c>
      <c r="AG3115" s="2">
        <v>6468.73</v>
      </c>
      <c r="AJ3115" s="2">
        <f t="shared" si="466"/>
        <v>0</v>
      </c>
      <c r="AK3115" s="2">
        <f t="shared" si="475"/>
        <v>2461.2700000000004</v>
      </c>
      <c r="AL3115" s="5">
        <f t="shared" si="478"/>
        <v>0.27561814109742444</v>
      </c>
    </row>
    <row r="3116" spans="1:38" x14ac:dyDescent="0.2">
      <c r="A3116" s="2">
        <v>2026</v>
      </c>
      <c r="B3116" s="2">
        <v>2</v>
      </c>
      <c r="C3116" s="2" t="s">
        <v>3320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3244</v>
      </c>
      <c r="J3116" s="2" t="s">
        <v>3245</v>
      </c>
      <c r="K3116" s="2">
        <v>96179412</v>
      </c>
      <c r="L3116" s="2" t="s">
        <v>461</v>
      </c>
      <c r="M3116" s="2" t="s">
        <v>40</v>
      </c>
      <c r="O3116" s="2" t="s">
        <v>3246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77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65"/>
        <v>0</v>
      </c>
      <c r="AG3116" s="2">
        <v>6468.73</v>
      </c>
      <c r="AJ3116" s="2">
        <f t="shared" si="466"/>
        <v>0</v>
      </c>
      <c r="AK3116" s="2">
        <f t="shared" si="475"/>
        <v>2461.2700000000004</v>
      </c>
      <c r="AL3116" s="5">
        <f t="shared" si="478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77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65"/>
        <v>0</v>
      </c>
      <c r="AG3117" s="2">
        <f>3130.82+148.37</f>
        <v>3279.19</v>
      </c>
      <c r="AJ3117" s="2">
        <f t="shared" si="466"/>
        <v>0</v>
      </c>
      <c r="AK3117" s="2">
        <f t="shared" si="475"/>
        <v>1192.3600000000001</v>
      </c>
      <c r="AL3117" s="5">
        <f t="shared" si="478"/>
        <v>0.26665473940803525</v>
      </c>
    </row>
    <row r="3118" spans="1:38" x14ac:dyDescent="0.2">
      <c r="A3118" s="2">
        <v>2026</v>
      </c>
      <c r="B3118" s="2">
        <v>2</v>
      </c>
      <c r="C3118" s="2" t="s">
        <v>3320</v>
      </c>
      <c r="D3118" s="2" t="s">
        <v>3243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77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5"/>
        <v>0</v>
      </c>
      <c r="AG3118" s="2">
        <v>3345.125</v>
      </c>
      <c r="AJ3118" s="2">
        <f t="shared" si="466"/>
        <v>0</v>
      </c>
      <c r="AK3118" s="2">
        <f t="shared" si="475"/>
        <v>944.88000000000011</v>
      </c>
      <c r="AL3118" s="5">
        <f t="shared" si="478"/>
        <v>0.22025174825174829</v>
      </c>
    </row>
    <row r="3119" spans="1:38" x14ac:dyDescent="0.2">
      <c r="A3119" s="2">
        <v>2026</v>
      </c>
      <c r="B3119" s="2">
        <v>2</v>
      </c>
      <c r="C3119" s="2" t="s">
        <v>3320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77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65"/>
        <v>0</v>
      </c>
      <c r="AG3119" s="2">
        <f>4893.23+171</f>
        <v>5064.2299999999996</v>
      </c>
      <c r="AJ3119" s="2">
        <f t="shared" si="466"/>
        <v>0</v>
      </c>
      <c r="AK3119" s="2">
        <f t="shared" si="475"/>
        <v>2925.7700000000004</v>
      </c>
      <c r="AL3119" s="5">
        <f t="shared" si="478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3122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77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5"/>
        <v>0</v>
      </c>
      <c r="AG3120" s="2">
        <v>23.9572</v>
      </c>
      <c r="AJ3120" s="2">
        <f t="shared" si="466"/>
        <v>0</v>
      </c>
      <c r="AK3120" s="2">
        <f t="shared" si="475"/>
        <v>44.902799999999999</v>
      </c>
      <c r="AL3120" s="5">
        <f t="shared" si="478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77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5"/>
        <v>0</v>
      </c>
      <c r="AG3121" s="2">
        <v>23.9572</v>
      </c>
      <c r="AJ3121" s="2">
        <f t="shared" si="466"/>
        <v>0</v>
      </c>
      <c r="AK3121" s="2">
        <f t="shared" si="475"/>
        <v>44.902799999999999</v>
      </c>
      <c r="AL3121" s="5">
        <f t="shared" si="478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77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65"/>
        <v>0</v>
      </c>
      <c r="AG3122" s="2">
        <v>10.15</v>
      </c>
      <c r="AJ3122" s="2">
        <f t="shared" si="466"/>
        <v>0</v>
      </c>
      <c r="AK3122" s="2">
        <f t="shared" si="475"/>
        <v>58.71</v>
      </c>
      <c r="AL3122" s="5">
        <f t="shared" si="478"/>
        <v>0.8525994772001162</v>
      </c>
    </row>
    <row r="3123" spans="1:38" x14ac:dyDescent="0.2">
      <c r="A3123" s="2">
        <v>2026</v>
      </c>
      <c r="B3123" s="2">
        <v>2</v>
      </c>
      <c r="C3123" s="2" t="s">
        <v>3411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77"/>
        <v>6.6666666666666428E-3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5"/>
        <v>0</v>
      </c>
      <c r="AJ3123" s="2">
        <f t="shared" si="466"/>
        <v>0</v>
      </c>
      <c r="AK3123" s="2">
        <f t="shared" si="475"/>
        <v>9.9999999999999645E-2</v>
      </c>
      <c r="AL3123" s="5">
        <f t="shared" si="478"/>
        <v>6.6666666666666428E-3</v>
      </c>
    </row>
    <row r="3124" spans="1:38" x14ac:dyDescent="0.2">
      <c r="A3124" s="2">
        <v>2026</v>
      </c>
      <c r="B3124" s="2">
        <v>2</v>
      </c>
      <c r="C3124" s="2" t="s">
        <v>3411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77"/>
        <v>6.6666666666666666E-2</v>
      </c>
      <c r="Z3124" s="2" t="s">
        <v>3226</v>
      </c>
      <c r="AA3124" s="2" t="s">
        <v>155</v>
      </c>
      <c r="AB3124" s="2" t="s">
        <v>154</v>
      </c>
      <c r="AC3124" s="2" t="s">
        <v>152</v>
      </c>
      <c r="AF3124" s="2">
        <f t="shared" si="465"/>
        <v>0</v>
      </c>
      <c r="AJ3124" s="2">
        <f t="shared" si="466"/>
        <v>0</v>
      </c>
      <c r="AK3124" s="2">
        <f t="shared" si="475"/>
        <v>1</v>
      </c>
      <c r="AL3124" s="5">
        <f t="shared" si="478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77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65"/>
        <v>0</v>
      </c>
      <c r="AG3125" s="2">
        <v>759</v>
      </c>
      <c r="AJ3125" s="2">
        <f t="shared" si="466"/>
        <v>0</v>
      </c>
      <c r="AK3125" s="2">
        <f t="shared" si="475"/>
        <v>31</v>
      </c>
      <c r="AL3125" s="5">
        <f t="shared" si="478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77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5"/>
        <v>0</v>
      </c>
      <c r="AG3126" s="2">
        <v>297</v>
      </c>
      <c r="AH3126" s="2">
        <v>595</v>
      </c>
      <c r="AJ3126" s="2">
        <f t="shared" si="466"/>
        <v>0</v>
      </c>
      <c r="AK3126" s="2">
        <f t="shared" si="475"/>
        <v>298</v>
      </c>
      <c r="AL3126" s="5">
        <f t="shared" si="478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77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5"/>
        <v>0</v>
      </c>
      <c r="AG3127" s="2">
        <v>297</v>
      </c>
      <c r="AH3127" s="2">
        <v>595</v>
      </c>
      <c r="AJ3127" s="2">
        <f t="shared" si="466"/>
        <v>0</v>
      </c>
      <c r="AK3127" s="2">
        <f t="shared" si="475"/>
        <v>298</v>
      </c>
      <c r="AL3127" s="5">
        <f t="shared" si="478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77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65"/>
        <v>0</v>
      </c>
      <c r="AG3128" s="2">
        <v>297</v>
      </c>
      <c r="AH3128" s="2">
        <v>595</v>
      </c>
      <c r="AJ3128" s="2">
        <f t="shared" si="466"/>
        <v>0</v>
      </c>
      <c r="AK3128" s="2">
        <f t="shared" si="475"/>
        <v>298</v>
      </c>
      <c r="AL3128" s="5">
        <f t="shared" si="478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79">14.5099*S3129</f>
        <v>159.60890000000001</v>
      </c>
      <c r="X3129" s="5">
        <f t="shared" si="477"/>
        <v>0.20195549999999998</v>
      </c>
      <c r="Z3129" s="2" t="s">
        <v>3226</v>
      </c>
      <c r="AA3129" s="2" t="s">
        <v>46</v>
      </c>
      <c r="AB3129" s="2" t="s">
        <v>60</v>
      </c>
      <c r="AC3129" s="2" t="s">
        <v>3331</v>
      </c>
      <c r="AF3129" s="2">
        <f t="shared" si="465"/>
        <v>0</v>
      </c>
      <c r="AJ3129" s="2">
        <f t="shared" si="466"/>
        <v>0</v>
      </c>
      <c r="AK3129" s="2">
        <f t="shared" si="475"/>
        <v>40.391099999999994</v>
      </c>
      <c r="AL3129" s="5">
        <f t="shared" si="478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79"/>
        <v>14.5099</v>
      </c>
      <c r="X3130" s="18">
        <v>-1</v>
      </c>
      <c r="Z3130" s="2" t="s">
        <v>3226</v>
      </c>
      <c r="AA3130" s="2" t="s">
        <v>46</v>
      </c>
      <c r="AB3130" s="2" t="s">
        <v>60</v>
      </c>
      <c r="AC3130" s="2" t="s">
        <v>3331</v>
      </c>
      <c r="AF3130" s="2">
        <f t="shared" si="465"/>
        <v>0</v>
      </c>
      <c r="AJ3130" s="2">
        <f t="shared" si="466"/>
        <v>0</v>
      </c>
      <c r="AK3130" s="2">
        <f t="shared" si="475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79"/>
        <v>145.09899999999999</v>
      </c>
      <c r="X3131" s="5">
        <f>(T3131-W3131)/T3131</f>
        <v>0.27450500000000005</v>
      </c>
      <c r="Z3131" s="2" t="s">
        <v>3226</v>
      </c>
      <c r="AA3131" s="2" t="s">
        <v>46</v>
      </c>
      <c r="AB3131" s="2" t="s">
        <v>60</v>
      </c>
      <c r="AC3131" s="2" t="s">
        <v>3331</v>
      </c>
      <c r="AF3131" s="2">
        <f t="shared" si="465"/>
        <v>0</v>
      </c>
      <c r="AJ3131" s="2">
        <f t="shared" si="466"/>
        <v>0</v>
      </c>
      <c r="AK3131" s="2">
        <f t="shared" si="475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79"/>
        <v>159.60890000000001</v>
      </c>
      <c r="X3132" s="5">
        <f>(T3132-W3132)/T3132</f>
        <v>0.20195549999999998</v>
      </c>
      <c r="Z3132" s="2" t="s">
        <v>3226</v>
      </c>
      <c r="AA3132" s="2" t="s">
        <v>46</v>
      </c>
      <c r="AB3132" s="2" t="s">
        <v>60</v>
      </c>
      <c r="AC3132" s="2" t="s">
        <v>3331</v>
      </c>
      <c r="AF3132" s="2">
        <f t="shared" si="465"/>
        <v>0</v>
      </c>
      <c r="AJ3132" s="2">
        <f t="shared" si="466"/>
        <v>0</v>
      </c>
      <c r="AK3132" s="2">
        <f t="shared" ref="AK3132:AK3158" si="480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79"/>
        <v>14.5099</v>
      </c>
      <c r="X3133" s="19">
        <v>-1</v>
      </c>
      <c r="Z3133" s="2" t="s">
        <v>3226</v>
      </c>
      <c r="AA3133" s="2" t="s">
        <v>46</v>
      </c>
      <c r="AB3133" s="2" t="s">
        <v>60</v>
      </c>
      <c r="AC3133" s="2" t="s">
        <v>3331</v>
      </c>
      <c r="AF3133" s="2">
        <f t="shared" si="465"/>
        <v>0</v>
      </c>
      <c r="AJ3133" s="2">
        <f t="shared" si="466"/>
        <v>0</v>
      </c>
      <c r="AK3133" s="2">
        <f t="shared" si="480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79"/>
        <v>145.09899999999999</v>
      </c>
      <c r="X3134" s="5">
        <f t="shared" ref="X3134:X3154" si="481">(T3134-W3134)/T3134</f>
        <v>0.27450500000000005</v>
      </c>
      <c r="Z3134" s="2" t="s">
        <v>3226</v>
      </c>
      <c r="AA3134" s="2" t="s">
        <v>46</v>
      </c>
      <c r="AB3134" s="2" t="s">
        <v>60</v>
      </c>
      <c r="AC3134" s="2" t="s">
        <v>3331</v>
      </c>
      <c r="AF3134" s="2">
        <f t="shared" si="465"/>
        <v>0</v>
      </c>
      <c r="AJ3134" s="2">
        <f t="shared" si="466"/>
        <v>0</v>
      </c>
      <c r="AK3134" s="2">
        <f t="shared" si="480"/>
        <v>54.90100000000001</v>
      </c>
      <c r="AL3134" s="5">
        <f t="shared" ref="AL3134:AL3154" si="482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81"/>
        <v>0.4919047619047619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5"/>
        <v>0</v>
      </c>
      <c r="AG3135" s="2">
        <v>10.67</v>
      </c>
      <c r="AH3135" s="2">
        <v>21</v>
      </c>
      <c r="AJ3135" s="2">
        <f t="shared" si="466"/>
        <v>0</v>
      </c>
      <c r="AK3135" s="2">
        <f t="shared" si="480"/>
        <v>20.66</v>
      </c>
      <c r="AL3135" s="5">
        <f t="shared" si="482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83">6.6267*S3136</f>
        <v>6.6266999999999996</v>
      </c>
      <c r="X3136" s="5">
        <f t="shared" si="481"/>
        <v>0.44777500000000003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5"/>
        <v>0</v>
      </c>
      <c r="AG3136" s="2">
        <v>6.6266999999999996</v>
      </c>
      <c r="AH3136" s="2">
        <v>12</v>
      </c>
      <c r="AJ3136" s="2">
        <f t="shared" si="466"/>
        <v>0</v>
      </c>
      <c r="AK3136" s="2">
        <f t="shared" si="480"/>
        <v>5.3733000000000004</v>
      </c>
      <c r="AL3136" s="5">
        <f t="shared" si="482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83"/>
        <v>6.6266999999999996</v>
      </c>
      <c r="X3137" s="5">
        <f t="shared" si="481"/>
        <v>0.49025384615384621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si="465"/>
        <v>0</v>
      </c>
      <c r="AG3137" s="2">
        <v>6.6266999999999996</v>
      </c>
      <c r="AH3137" s="2">
        <v>12</v>
      </c>
      <c r="AJ3137" s="2">
        <f t="shared" si="466"/>
        <v>0</v>
      </c>
      <c r="AK3137" s="2">
        <f t="shared" si="480"/>
        <v>6.3733000000000004</v>
      </c>
      <c r="AL3137" s="5">
        <f t="shared" si="482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3216</v>
      </c>
      <c r="J3138" s="2" t="s">
        <v>3215</v>
      </c>
      <c r="K3138" s="2">
        <v>913814877</v>
      </c>
      <c r="L3138" s="2" t="s">
        <v>201</v>
      </c>
      <c r="M3138" s="2" t="s">
        <v>80</v>
      </c>
      <c r="O3138" s="2" t="s">
        <v>3212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83"/>
        <v>13.253399999999999</v>
      </c>
      <c r="X3138" s="5">
        <f t="shared" si="481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ref="AF3138:AF3201" si="484">AJ3138</f>
        <v>0</v>
      </c>
      <c r="AG3138" s="2">
        <v>6.6266999999999996</v>
      </c>
      <c r="AH3138" s="2">
        <v>12</v>
      </c>
      <c r="AJ3138" s="2">
        <f t="shared" ref="AJ3138:AJ3201" si="485">AI3138*T3138</f>
        <v>0</v>
      </c>
      <c r="AK3138" s="2">
        <f t="shared" si="480"/>
        <v>10.746600000000001</v>
      </c>
      <c r="AL3138" s="5">
        <f t="shared" si="482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3133</v>
      </c>
      <c r="L3139" s="2" t="s">
        <v>177</v>
      </c>
      <c r="M3139" s="2" t="s">
        <v>41</v>
      </c>
      <c r="O3139" s="2" t="s">
        <v>3140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83"/>
        <v>19.880099999999999</v>
      </c>
      <c r="X3139" s="5">
        <f t="shared" si="481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4"/>
        <v>0</v>
      </c>
      <c r="AG3139" s="2">
        <v>6.6266999999999996</v>
      </c>
      <c r="AH3139" s="2">
        <v>12</v>
      </c>
      <c r="AJ3139" s="2">
        <f t="shared" si="485"/>
        <v>0</v>
      </c>
      <c r="AK3139" s="2">
        <f t="shared" si="480"/>
        <v>16.119900000000001</v>
      </c>
      <c r="AL3139" s="5">
        <f t="shared" si="482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83"/>
        <v>13.253399999999999</v>
      </c>
      <c r="X3140" s="5">
        <f t="shared" si="481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4"/>
        <v>0</v>
      </c>
      <c r="AG3140" s="2">
        <v>6.6266999999999996</v>
      </c>
      <c r="AH3140" s="2">
        <v>12</v>
      </c>
      <c r="AJ3140" s="2">
        <f t="shared" si="485"/>
        <v>0</v>
      </c>
      <c r="AK3140" s="2">
        <f t="shared" si="480"/>
        <v>10.746600000000001</v>
      </c>
      <c r="AL3140" s="5">
        <f t="shared" si="482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83"/>
        <v>6.6266999999999996</v>
      </c>
      <c r="X3141" s="5">
        <f t="shared" si="481"/>
        <v>0.44777500000000003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4"/>
        <v>0</v>
      </c>
      <c r="AG3141" s="2">
        <v>6.6266999999999996</v>
      </c>
      <c r="AH3141" s="2">
        <v>12</v>
      </c>
      <c r="AJ3141" s="2">
        <f t="shared" si="485"/>
        <v>0</v>
      </c>
      <c r="AK3141" s="2">
        <f t="shared" si="480"/>
        <v>5.3733000000000004</v>
      </c>
      <c r="AL3141" s="5">
        <f t="shared" si="482"/>
        <v>0.44777500000000003</v>
      </c>
    </row>
    <row r="3142" spans="1:38" x14ac:dyDescent="0.2">
      <c r="A3142" s="2">
        <v>2026</v>
      </c>
      <c r="B3142" s="2">
        <v>2</v>
      </c>
      <c r="C3142" s="2" t="s">
        <v>3411</v>
      </c>
      <c r="D3142" s="2" t="s">
        <v>1901</v>
      </c>
      <c r="E3142" s="2" t="s">
        <v>38</v>
      </c>
      <c r="F3142" s="2" t="s">
        <v>39</v>
      </c>
      <c r="G3142" s="2">
        <v>505757486</v>
      </c>
      <c r="L3142" s="2" t="s">
        <v>201</v>
      </c>
      <c r="M3142" s="2" t="s">
        <v>80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1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4"/>
        <v>0</v>
      </c>
      <c r="AJ3142" s="2">
        <f t="shared" si="485"/>
        <v>0</v>
      </c>
      <c r="AK3142" s="2">
        <f t="shared" si="480"/>
        <v>24.450000000000003</v>
      </c>
      <c r="AL3142" s="5">
        <f t="shared" si="482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81"/>
        <v>0.71491228070175439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4"/>
        <v>0</v>
      </c>
      <c r="AJ3143" s="2">
        <f t="shared" si="485"/>
        <v>0</v>
      </c>
      <c r="AK3143" s="2">
        <f t="shared" si="480"/>
        <v>24.450000000000003</v>
      </c>
      <c r="AL3143" s="5">
        <f t="shared" si="482"/>
        <v>0.71491228070175439</v>
      </c>
    </row>
    <row r="3144" spans="1:38" x14ac:dyDescent="0.2">
      <c r="A3144" s="2">
        <v>2026</v>
      </c>
      <c r="B3144" s="2">
        <v>2</v>
      </c>
      <c r="C3144" s="2" t="s">
        <v>3411</v>
      </c>
      <c r="D3144" s="2" t="s">
        <v>1901</v>
      </c>
      <c r="E3144" s="2" t="s">
        <v>38</v>
      </c>
      <c r="F3144" s="2" t="s">
        <v>39</v>
      </c>
      <c r="G3144" s="2">
        <v>505757486</v>
      </c>
      <c r="L3144" s="2" t="s">
        <v>201</v>
      </c>
      <c r="M3144" s="2" t="s">
        <v>80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81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4"/>
        <v>0</v>
      </c>
      <c r="AJ3144" s="2">
        <f t="shared" si="485"/>
        <v>0</v>
      </c>
      <c r="AK3144" s="2">
        <f t="shared" si="480"/>
        <v>49.41</v>
      </c>
      <c r="AL3144" s="5">
        <f t="shared" si="482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81"/>
        <v>0.68624999999999992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4"/>
        <v>0</v>
      </c>
      <c r="AJ3145" s="2">
        <f t="shared" si="485"/>
        <v>0</v>
      </c>
      <c r="AK3145" s="2">
        <f t="shared" si="480"/>
        <v>24.704999999999998</v>
      </c>
      <c r="AL3145" s="5">
        <f t="shared" si="482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81"/>
        <v>0.59037280701754391</v>
      </c>
      <c r="Z3146" s="2" t="s">
        <v>3226</v>
      </c>
      <c r="AA3146" s="2" t="s">
        <v>46</v>
      </c>
      <c r="AB3146" s="2" t="s">
        <v>47</v>
      </c>
      <c r="AC3146" s="2" t="s">
        <v>57</v>
      </c>
      <c r="AF3146" s="2">
        <f t="shared" si="484"/>
        <v>0</v>
      </c>
      <c r="AG3146" s="2">
        <v>3.7357999999999998</v>
      </c>
      <c r="AH3146" s="2">
        <v>9</v>
      </c>
      <c r="AJ3146" s="2">
        <f t="shared" si="485"/>
        <v>0</v>
      </c>
      <c r="AK3146" s="2">
        <f t="shared" si="480"/>
        <v>26.921000000000003</v>
      </c>
      <c r="AL3146" s="5">
        <f t="shared" si="482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81"/>
        <v>0.47844827586206895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4"/>
        <v>0</v>
      </c>
      <c r="AJ3147" s="2">
        <f t="shared" si="485"/>
        <v>0</v>
      </c>
      <c r="AK3147" s="2">
        <f t="shared" si="480"/>
        <v>8.3249999999999993</v>
      </c>
      <c r="AL3147" s="5">
        <f t="shared" si="482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81"/>
        <v>0.53121428571428575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4"/>
        <v>0</v>
      </c>
      <c r="AG3148" s="2">
        <v>5.9066999999999998</v>
      </c>
      <c r="AH3148" s="2">
        <v>12.6</v>
      </c>
      <c r="AJ3148" s="2">
        <f t="shared" si="485"/>
        <v>0</v>
      </c>
      <c r="AK3148" s="2">
        <f t="shared" si="480"/>
        <v>6.6932999999999998</v>
      </c>
      <c r="AL3148" s="5">
        <f t="shared" si="482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81"/>
        <v>0.47404761904761905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4"/>
        <v>0</v>
      </c>
      <c r="AJ3149" s="2">
        <f t="shared" si="485"/>
        <v>0</v>
      </c>
      <c r="AK3149" s="2">
        <f t="shared" si="480"/>
        <v>9.9550000000000001</v>
      </c>
      <c r="AL3149" s="5">
        <f t="shared" si="482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81"/>
        <v>0.49849305555555556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4"/>
        <v>0</v>
      </c>
      <c r="AG3150" s="2">
        <v>7.2217000000000002</v>
      </c>
      <c r="AH3150" s="2">
        <v>14.4</v>
      </c>
      <c r="AJ3150" s="2">
        <f t="shared" si="485"/>
        <v>0</v>
      </c>
      <c r="AK3150" s="2">
        <f t="shared" si="480"/>
        <v>7.1783000000000001</v>
      </c>
      <c r="AL3150" s="5">
        <f t="shared" si="482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81"/>
        <v>0.45916999999999997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4"/>
        <v>0</v>
      </c>
      <c r="AJ3151" s="2">
        <f t="shared" si="485"/>
        <v>0</v>
      </c>
      <c r="AK3151" s="2">
        <f t="shared" si="480"/>
        <v>13.775099999999998</v>
      </c>
      <c r="AL3151" s="5">
        <f t="shared" si="482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81"/>
        <v>0.47844827586206895</v>
      </c>
      <c r="Z3152" s="2" t="s">
        <v>3226</v>
      </c>
      <c r="AA3152" s="2" t="s">
        <v>46</v>
      </c>
      <c r="AB3152" s="2" t="s">
        <v>56</v>
      </c>
      <c r="AC3152" s="2" t="s">
        <v>57</v>
      </c>
      <c r="AF3152" s="2">
        <f t="shared" si="484"/>
        <v>0</v>
      </c>
      <c r="AJ3152" s="2">
        <f t="shared" si="485"/>
        <v>0</v>
      </c>
      <c r="AK3152" s="2">
        <f t="shared" si="480"/>
        <v>8.3249999999999993</v>
      </c>
      <c r="AL3152" s="5">
        <f t="shared" si="482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81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84"/>
        <v>0</v>
      </c>
      <c r="AG3153" s="2">
        <v>120.81</v>
      </c>
      <c r="AJ3153" s="2">
        <f t="shared" si="485"/>
        <v>0</v>
      </c>
      <c r="AK3153" s="2">
        <f t="shared" si="480"/>
        <v>142.92000000000002</v>
      </c>
      <c r="AL3153" s="5">
        <f t="shared" si="482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86">11.045*S3154</f>
        <v>11.045</v>
      </c>
      <c r="X3154" s="5">
        <f t="shared" si="481"/>
        <v>0.47404761904761905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4"/>
        <v>0</v>
      </c>
      <c r="AJ3154" s="2">
        <f t="shared" si="485"/>
        <v>0</v>
      </c>
      <c r="AK3154" s="2">
        <f t="shared" si="480"/>
        <v>9.9550000000000001</v>
      </c>
      <c r="AL3154" s="5">
        <f t="shared" si="482"/>
        <v>0.47404761904761905</v>
      </c>
    </row>
    <row r="3155" spans="1:38" x14ac:dyDescent="0.2">
      <c r="A3155" s="2">
        <v>2026</v>
      </c>
      <c r="B3155" s="2">
        <v>2</v>
      </c>
      <c r="C3155" s="2" t="s">
        <v>3411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86"/>
        <v>0</v>
      </c>
      <c r="X3155" s="5">
        <v>0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4"/>
        <v>0</v>
      </c>
      <c r="AJ3155" s="2">
        <f t="shared" si="485"/>
        <v>0</v>
      </c>
      <c r="AK3155" s="2">
        <f t="shared" si="480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87">13.4067*S3156</f>
        <v>13.406700000000001</v>
      </c>
      <c r="X3156" s="5">
        <f>(T3156-W3156)/T3156</f>
        <v>0.4679880952380952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4"/>
        <v>0</v>
      </c>
      <c r="AJ3156" s="2">
        <f t="shared" si="485"/>
        <v>0</v>
      </c>
      <c r="AK3156" s="2">
        <f t="shared" si="480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C3157" s="2" t="s">
        <v>3411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87"/>
        <v>0</v>
      </c>
      <c r="X3157" s="5">
        <v>0</v>
      </c>
      <c r="Z3157" s="2" t="s">
        <v>3226</v>
      </c>
      <c r="AA3157" s="2" t="s">
        <v>46</v>
      </c>
      <c r="AB3157" s="2" t="s">
        <v>56</v>
      </c>
      <c r="AC3157" s="2" t="s">
        <v>57</v>
      </c>
      <c r="AF3157" s="2">
        <f t="shared" si="484"/>
        <v>0</v>
      </c>
      <c r="AJ3157" s="2">
        <f t="shared" si="485"/>
        <v>0</v>
      </c>
      <c r="AK3157" s="2">
        <f t="shared" si="480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18">
        <f>SIGN(T3158)*((ABS(T3158)-W3158)/ABS(T3158))</f>
        <v>-0.23399238164338845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84"/>
        <v>0</v>
      </c>
      <c r="AG3158" s="2">
        <v>42.23</v>
      </c>
      <c r="AJ3158" s="2">
        <f t="shared" si="485"/>
        <v>0</v>
      </c>
      <c r="AK3158" s="2">
        <f t="shared" si="480"/>
        <v>-97.36</v>
      </c>
      <c r="AL3158" s="18">
        <f t="shared" ref="AL3158" si="488">SIGN(T3158)*((ABS(T3158)-W3158)/ABS(T3158))</f>
        <v>-0.23399238164338845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89">16.2249*S3159</f>
        <v>16.224900000000002</v>
      </c>
      <c r="X3159" s="5">
        <f>(T3159-W3159)/T3159</f>
        <v>0.45916999999999997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4"/>
        <v>0</v>
      </c>
      <c r="AJ3159" s="2">
        <f t="shared" si="485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C3160" s="2" t="s">
        <v>3411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89"/>
        <v>0</v>
      </c>
      <c r="X3160" s="5">
        <v>0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4"/>
        <v>0</v>
      </c>
      <c r="AJ3160" s="2">
        <f t="shared" si="485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90">(T3161-W3161)/T3161</f>
        <v>0.26896551724137935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4"/>
        <v>0</v>
      </c>
      <c r="AG3161" s="2">
        <v>10.6</v>
      </c>
      <c r="AH3161" s="2">
        <v>18</v>
      </c>
      <c r="AJ3161" s="2">
        <f t="shared" si="485"/>
        <v>0</v>
      </c>
      <c r="AK3161" s="2">
        <f t="shared" ref="AK3161:AK3192" si="491">T3161-W3161</f>
        <v>15.600000000000001</v>
      </c>
      <c r="AL3161" s="5">
        <f t="shared" ref="AL3161:AL3169" si="492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3114</v>
      </c>
      <c r="J3162" s="2" t="s">
        <v>3115</v>
      </c>
      <c r="L3162" s="2" t="s">
        <v>112</v>
      </c>
      <c r="M3162" s="2" t="s">
        <v>109</v>
      </c>
      <c r="O3162" s="2" t="s">
        <v>3118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90"/>
        <v>0.41111111111111115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4"/>
        <v>0</v>
      </c>
      <c r="AG3162" s="2">
        <v>10.6</v>
      </c>
      <c r="AH3162" s="2">
        <v>18</v>
      </c>
      <c r="AJ3162" s="2">
        <f t="shared" si="485"/>
        <v>0</v>
      </c>
      <c r="AK3162" s="2">
        <f t="shared" si="491"/>
        <v>22.200000000000003</v>
      </c>
      <c r="AL3162" s="5">
        <f t="shared" si="492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90"/>
        <v>0.24285714285714285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4"/>
        <v>0</v>
      </c>
      <c r="AG3163" s="2">
        <v>10.6</v>
      </c>
      <c r="AH3163" s="2">
        <v>18</v>
      </c>
      <c r="AJ3163" s="2">
        <f t="shared" si="485"/>
        <v>0</v>
      </c>
      <c r="AK3163" s="2">
        <f t="shared" si="491"/>
        <v>34</v>
      </c>
      <c r="AL3163" s="5">
        <f t="shared" si="492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90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4"/>
        <v>0</v>
      </c>
      <c r="AG3164" s="2">
        <v>10.6</v>
      </c>
      <c r="AH3164" s="2">
        <v>18</v>
      </c>
      <c r="AJ3164" s="2">
        <f t="shared" si="485"/>
        <v>0</v>
      </c>
      <c r="AK3164" s="2">
        <f t="shared" si="491"/>
        <v>7.4</v>
      </c>
      <c r="AL3164" s="5">
        <f t="shared" si="492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90"/>
        <v>0.41111111111111115</v>
      </c>
      <c r="Z3165" s="2" t="s">
        <v>3226</v>
      </c>
      <c r="AA3165" s="2" t="s">
        <v>46</v>
      </c>
      <c r="AB3165" s="2" t="s">
        <v>56</v>
      </c>
      <c r="AC3165" s="2" t="s">
        <v>57</v>
      </c>
      <c r="AF3165" s="2">
        <f t="shared" si="484"/>
        <v>0</v>
      </c>
      <c r="AG3165" s="2">
        <v>10.6</v>
      </c>
      <c r="AH3165" s="2">
        <v>18</v>
      </c>
      <c r="AJ3165" s="2">
        <f t="shared" si="485"/>
        <v>0</v>
      </c>
      <c r="AK3165" s="2">
        <f t="shared" si="491"/>
        <v>14.8</v>
      </c>
      <c r="AL3165" s="5">
        <f t="shared" si="492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90"/>
        <v>0.34714285714285725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4"/>
        <v>0</v>
      </c>
      <c r="AG3166" s="2">
        <v>9.14</v>
      </c>
      <c r="AH3166" s="2">
        <v>16</v>
      </c>
      <c r="AJ3166" s="2">
        <f t="shared" si="485"/>
        <v>0</v>
      </c>
      <c r="AK3166" s="2">
        <f t="shared" si="491"/>
        <v>4.8600000000000012</v>
      </c>
      <c r="AL3166" s="5">
        <f t="shared" si="492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90"/>
        <v>0.29692307692307701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4"/>
        <v>0</v>
      </c>
      <c r="AG3167" s="2">
        <v>9.14</v>
      </c>
      <c r="AH3167" s="2">
        <v>16</v>
      </c>
      <c r="AJ3167" s="2">
        <f t="shared" si="485"/>
        <v>0</v>
      </c>
      <c r="AK3167" s="2">
        <f t="shared" si="491"/>
        <v>7.7200000000000024</v>
      </c>
      <c r="AL3167" s="5">
        <f t="shared" si="492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90"/>
        <v>0.25454545454545446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4"/>
        <v>0</v>
      </c>
      <c r="AG3168" s="2">
        <v>8.1999999999999993</v>
      </c>
      <c r="AH3168" s="2">
        <v>13</v>
      </c>
      <c r="AJ3168" s="2">
        <f t="shared" si="485"/>
        <v>0</v>
      </c>
      <c r="AK3168" s="2">
        <f t="shared" si="491"/>
        <v>53.199999999999989</v>
      </c>
      <c r="AL3168" s="5">
        <f t="shared" si="492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90"/>
        <v>0.36923076923076914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4"/>
        <v>0</v>
      </c>
      <c r="AG3169" s="2">
        <v>8.1999999999999993</v>
      </c>
      <c r="AH3169" s="2">
        <v>13</v>
      </c>
      <c r="AJ3169" s="2">
        <f t="shared" si="485"/>
        <v>0</v>
      </c>
      <c r="AK3169" s="2">
        <f t="shared" si="491"/>
        <v>9.5999999999999979</v>
      </c>
      <c r="AL3169" s="5">
        <f t="shared" si="492"/>
        <v>0.36923076923076914</v>
      </c>
    </row>
    <row r="3170" spans="1:38" x14ac:dyDescent="0.2">
      <c r="A3170" s="2">
        <v>2026</v>
      </c>
      <c r="B3170" s="2">
        <v>2</v>
      </c>
      <c r="C3170" s="2" t="s">
        <v>3411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4"/>
        <v>0</v>
      </c>
      <c r="AG3170" s="2">
        <v>8.1999999999999993</v>
      </c>
      <c r="AH3170" s="2">
        <v>13</v>
      </c>
      <c r="AJ3170" s="2">
        <f t="shared" si="485"/>
        <v>0</v>
      </c>
      <c r="AK3170" s="2">
        <f t="shared" si="491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93">(T3171-W3171)/T3171</f>
        <v>0.3166666666666666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4"/>
        <v>0</v>
      </c>
      <c r="AG3171" s="2">
        <v>8.1999999999999993</v>
      </c>
      <c r="AH3171" s="2">
        <v>13</v>
      </c>
      <c r="AJ3171" s="2">
        <f t="shared" si="485"/>
        <v>0</v>
      </c>
      <c r="AK3171" s="2">
        <f t="shared" si="491"/>
        <v>7.5999999999999979</v>
      </c>
      <c r="AL3171" s="5">
        <f t="shared" ref="AL3171:AL3181" si="494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93"/>
        <v>0.36923076923076914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4"/>
        <v>0</v>
      </c>
      <c r="AG3172" s="2">
        <v>8.1999999999999993</v>
      </c>
      <c r="AH3172" s="2">
        <v>13</v>
      </c>
      <c r="AJ3172" s="2">
        <f t="shared" si="485"/>
        <v>0</v>
      </c>
      <c r="AK3172" s="2">
        <f t="shared" si="491"/>
        <v>4.7999999999999989</v>
      </c>
      <c r="AL3172" s="5">
        <f t="shared" si="494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93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4"/>
        <v>0</v>
      </c>
      <c r="AG3173" s="2">
        <v>8.1999999999999993</v>
      </c>
      <c r="AH3173" s="2">
        <v>13</v>
      </c>
      <c r="AJ3173" s="2">
        <f t="shared" si="485"/>
        <v>0</v>
      </c>
      <c r="AK3173" s="2">
        <f t="shared" si="491"/>
        <v>3.7999999999999989</v>
      </c>
      <c r="AL3173" s="5">
        <f t="shared" si="494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93"/>
        <v>0.3166666666666666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4"/>
        <v>0</v>
      </c>
      <c r="AG3174" s="2">
        <v>8.1999999999999993</v>
      </c>
      <c r="AH3174" s="2">
        <v>13</v>
      </c>
      <c r="AJ3174" s="2">
        <f t="shared" si="485"/>
        <v>0</v>
      </c>
      <c r="AK3174" s="2">
        <f t="shared" si="491"/>
        <v>7.5999999999999979</v>
      </c>
      <c r="AL3174" s="5">
        <f t="shared" si="494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3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4"/>
        <v>0</v>
      </c>
      <c r="AJ3175" s="2">
        <f t="shared" si="485"/>
        <v>0</v>
      </c>
      <c r="AK3175" s="2">
        <f t="shared" si="491"/>
        <v>4.8600000000000012</v>
      </c>
      <c r="AL3175" s="5">
        <f t="shared" si="494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93"/>
        <v>0.34714285714285725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4"/>
        <v>0</v>
      </c>
      <c r="AJ3176" s="2">
        <f t="shared" si="485"/>
        <v>0</v>
      </c>
      <c r="AK3176" s="2">
        <f t="shared" si="491"/>
        <v>4.8600000000000012</v>
      </c>
      <c r="AL3176" s="5">
        <f t="shared" si="494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93"/>
        <v>0.47838888888888892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4"/>
        <v>0</v>
      </c>
      <c r="AG3177" s="2">
        <v>3.7555999999999998</v>
      </c>
      <c r="AH3177" s="2">
        <v>7.2</v>
      </c>
      <c r="AJ3177" s="2">
        <f t="shared" si="485"/>
        <v>0</v>
      </c>
      <c r="AK3177" s="2">
        <f t="shared" si="491"/>
        <v>13.777600000000001</v>
      </c>
      <c r="AL3177" s="5">
        <f t="shared" si="494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93"/>
        <v>0.5243888888888889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4"/>
        <v>0</v>
      </c>
      <c r="AG3178" s="2">
        <v>0.85609999999999997</v>
      </c>
      <c r="AH3178" s="2">
        <v>1.8</v>
      </c>
      <c r="AJ3178" s="2">
        <f t="shared" si="485"/>
        <v>0</v>
      </c>
      <c r="AK3178" s="2">
        <f t="shared" si="491"/>
        <v>0.94390000000000007</v>
      </c>
      <c r="AL3178" s="5">
        <f t="shared" si="494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93"/>
        <v>0.71463333333333334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4"/>
        <v>0</v>
      </c>
      <c r="AG3179" s="2">
        <v>0.85609999999999997</v>
      </c>
      <c r="AH3179" s="2">
        <v>1.8</v>
      </c>
      <c r="AJ3179" s="2">
        <f t="shared" si="485"/>
        <v>0</v>
      </c>
      <c r="AK3179" s="2">
        <f t="shared" si="491"/>
        <v>2.1438999999999999</v>
      </c>
      <c r="AL3179" s="5">
        <f t="shared" si="494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93"/>
        <v>0.62926666666666664</v>
      </c>
      <c r="Z3180" s="2" t="s">
        <v>3226</v>
      </c>
      <c r="AA3180" s="2" t="s">
        <v>46</v>
      </c>
      <c r="AB3180" s="2" t="s">
        <v>60</v>
      </c>
      <c r="AC3180" s="2" t="s">
        <v>57</v>
      </c>
      <c r="AF3180" s="2">
        <f t="shared" si="484"/>
        <v>0</v>
      </c>
      <c r="AG3180" s="2">
        <v>1.1122000000000001</v>
      </c>
      <c r="AH3180" s="2">
        <v>3</v>
      </c>
      <c r="AJ3180" s="2">
        <f t="shared" si="485"/>
        <v>0</v>
      </c>
      <c r="AK3180" s="2">
        <f t="shared" si="491"/>
        <v>5.6633999999999993</v>
      </c>
      <c r="AL3180" s="5">
        <f t="shared" si="494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93"/>
        <v>-0.66666666666666663</v>
      </c>
      <c r="Z3181" s="2" t="s">
        <v>3226</v>
      </c>
      <c r="AA3181" s="2" t="s">
        <v>46</v>
      </c>
      <c r="AB3181" s="2" t="s">
        <v>90</v>
      </c>
      <c r="AC3181" s="2" t="s">
        <v>57</v>
      </c>
      <c r="AF3181" s="2">
        <f t="shared" si="484"/>
        <v>0</v>
      </c>
      <c r="AJ3181" s="2">
        <f t="shared" si="485"/>
        <v>0</v>
      </c>
      <c r="AK3181" s="2">
        <f t="shared" si="491"/>
        <v>-40</v>
      </c>
      <c r="AL3181" s="18">
        <f t="shared" si="494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4"/>
        <v>0</v>
      </c>
      <c r="AG3182" s="2">
        <v>7.9611999999999998</v>
      </c>
      <c r="AH3182" s="2">
        <v>14.4</v>
      </c>
      <c r="AJ3182" s="2">
        <f t="shared" si="485"/>
        <v>0</v>
      </c>
      <c r="AK3182" s="2">
        <f t="shared" si="491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95">(T3183-W3183)/T3183</f>
        <v>0.66122553191489364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4"/>
        <v>0</v>
      </c>
      <c r="AG3183" s="2">
        <v>7.9611999999999998</v>
      </c>
      <c r="AH3183" s="2">
        <v>14.4</v>
      </c>
      <c r="AJ3183" s="2">
        <f t="shared" si="485"/>
        <v>0</v>
      </c>
      <c r="AK3183" s="2">
        <f t="shared" si="491"/>
        <v>15.5388</v>
      </c>
      <c r="AL3183" s="5">
        <f t="shared" ref="AL3183:AL3214" si="496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95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4"/>
        <v>0</v>
      </c>
      <c r="AG3184" s="2">
        <v>15.020300000000001</v>
      </c>
      <c r="AH3184" s="2">
        <v>27.6</v>
      </c>
      <c r="AJ3184" s="2">
        <f t="shared" si="485"/>
        <v>0</v>
      </c>
      <c r="AK3184" s="2">
        <f t="shared" si="491"/>
        <v>25.439099999999996</v>
      </c>
      <c r="AL3184" s="5">
        <f t="shared" si="496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95"/>
        <v>0.3608382978723404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4"/>
        <v>0</v>
      </c>
      <c r="AG3185" s="2">
        <v>15.020300000000001</v>
      </c>
      <c r="AH3185" s="2">
        <v>27.6</v>
      </c>
      <c r="AJ3185" s="2">
        <f t="shared" si="485"/>
        <v>0</v>
      </c>
      <c r="AK3185" s="2">
        <f t="shared" si="491"/>
        <v>25.439099999999996</v>
      </c>
      <c r="AL3185" s="5">
        <f t="shared" si="496"/>
        <v>0.3608382978723404</v>
      </c>
    </row>
    <row r="3186" spans="1:38" x14ac:dyDescent="0.2">
      <c r="A3186" s="2">
        <v>2026</v>
      </c>
      <c r="B3186" s="2">
        <v>2</v>
      </c>
      <c r="C3186" s="2" t="s">
        <v>3299</v>
      </c>
      <c r="D3186" s="2" t="s">
        <v>1372</v>
      </c>
      <c r="E3186" s="2" t="s">
        <v>38</v>
      </c>
      <c r="F3186" s="2" t="s">
        <v>39</v>
      </c>
      <c r="I3186" s="2" t="s">
        <v>3298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95"/>
        <v>0.45578623188405798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4"/>
        <v>0</v>
      </c>
      <c r="AG3186" s="2">
        <v>15.020300000000001</v>
      </c>
      <c r="AH3186" s="2">
        <v>27.6</v>
      </c>
      <c r="AJ3186" s="2">
        <f t="shared" si="485"/>
        <v>0</v>
      </c>
      <c r="AK3186" s="2">
        <f t="shared" si="491"/>
        <v>25.159400000000002</v>
      </c>
      <c r="AL3186" s="5">
        <f t="shared" si="496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95"/>
        <v>0.34694347826086952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4"/>
        <v>0</v>
      </c>
      <c r="AG3187" s="2">
        <v>15.020300000000001</v>
      </c>
      <c r="AH3187" s="2">
        <v>27.6</v>
      </c>
      <c r="AJ3187" s="2">
        <f t="shared" si="485"/>
        <v>0</v>
      </c>
      <c r="AK3187" s="2">
        <f t="shared" si="491"/>
        <v>15.959399999999999</v>
      </c>
      <c r="AL3187" s="5">
        <f t="shared" si="496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95"/>
        <v>0.3608382978723404</v>
      </c>
      <c r="Z3188" s="2" t="s">
        <v>3226</v>
      </c>
      <c r="AA3188" s="2" t="s">
        <v>46</v>
      </c>
      <c r="AB3188" s="2" t="s">
        <v>67</v>
      </c>
      <c r="AC3188" s="2" t="s">
        <v>57</v>
      </c>
      <c r="AF3188" s="2">
        <f t="shared" si="484"/>
        <v>0</v>
      </c>
      <c r="AG3188" s="2">
        <v>15.020300000000001</v>
      </c>
      <c r="AH3188" s="2">
        <v>27.6</v>
      </c>
      <c r="AJ3188" s="2">
        <f t="shared" si="485"/>
        <v>0</v>
      </c>
      <c r="AK3188" s="2">
        <f t="shared" si="491"/>
        <v>8.4796999999999993</v>
      </c>
      <c r="AL3188" s="5">
        <f t="shared" si="496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95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84"/>
        <v>0</v>
      </c>
      <c r="AG3189" s="2">
        <f>2084.42+172</f>
        <v>2256.42</v>
      </c>
      <c r="AJ3189" s="2">
        <f t="shared" si="485"/>
        <v>0</v>
      </c>
      <c r="AK3189" s="2">
        <f t="shared" si="491"/>
        <v>2230.7399999999998</v>
      </c>
      <c r="AL3189" s="5">
        <f t="shared" si="496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95"/>
        <v>0.41111111111111115</v>
      </c>
      <c r="Z3190" s="2" t="s">
        <v>3226</v>
      </c>
      <c r="AA3190" s="2" t="s">
        <v>46</v>
      </c>
      <c r="AB3190" s="2" t="s">
        <v>56</v>
      </c>
      <c r="AC3190" s="2" t="s">
        <v>57</v>
      </c>
      <c r="AF3190" s="2">
        <f t="shared" si="484"/>
        <v>0</v>
      </c>
      <c r="AG3190" s="2">
        <v>10.6</v>
      </c>
      <c r="AH3190" s="2">
        <v>18</v>
      </c>
      <c r="AJ3190" s="2">
        <f t="shared" si="485"/>
        <v>0</v>
      </c>
      <c r="AK3190" s="2">
        <f t="shared" si="491"/>
        <v>14.8</v>
      </c>
      <c r="AL3190" s="5">
        <f t="shared" si="496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95"/>
        <v>0.39970609845701688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4"/>
        <v>0</v>
      </c>
      <c r="AG3191" s="2">
        <v>8.17</v>
      </c>
      <c r="AJ3191" s="2">
        <f t="shared" si="485"/>
        <v>0</v>
      </c>
      <c r="AK3191" s="2">
        <f t="shared" si="491"/>
        <v>5.4399999999999995</v>
      </c>
      <c r="AL3191" s="5">
        <f t="shared" si="496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95"/>
        <v>0.39976415094339629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4"/>
        <v>0</v>
      </c>
      <c r="AG3192" s="2">
        <v>10.18</v>
      </c>
      <c r="AJ3192" s="2">
        <f t="shared" si="485"/>
        <v>0</v>
      </c>
      <c r="AK3192" s="2">
        <f t="shared" si="491"/>
        <v>6.7800000000000011</v>
      </c>
      <c r="AL3192" s="5">
        <f t="shared" si="496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95"/>
        <v>0.39988151658767762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4"/>
        <v>0</v>
      </c>
      <c r="AG3193" s="2">
        <v>10.130000000000001</v>
      </c>
      <c r="AJ3193" s="2">
        <f t="shared" si="485"/>
        <v>0</v>
      </c>
      <c r="AK3193" s="2">
        <f t="shared" ref="AK3193:AK3215" si="497">T3193-W3193</f>
        <v>6.7499999999999982</v>
      </c>
      <c r="AL3193" s="5">
        <f t="shared" si="496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95"/>
        <v>0.21000000000000002</v>
      </c>
      <c r="Z3194" s="2" t="s">
        <v>3226</v>
      </c>
      <c r="AA3194" s="2" t="s">
        <v>71</v>
      </c>
      <c r="AB3194" s="2" t="s">
        <v>68</v>
      </c>
      <c r="AC3194" s="2" t="s">
        <v>3230</v>
      </c>
      <c r="AF3194" s="2">
        <f t="shared" si="484"/>
        <v>0</v>
      </c>
      <c r="AG3194" s="2">
        <v>47.4</v>
      </c>
      <c r="AJ3194" s="2">
        <f t="shared" si="485"/>
        <v>0</v>
      </c>
      <c r="AK3194" s="2">
        <f t="shared" si="497"/>
        <v>12.600000000000001</v>
      </c>
      <c r="AL3194" s="5">
        <f t="shared" si="496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95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4"/>
        <v>0</v>
      </c>
      <c r="AG3195" s="2">
        <v>235.29</v>
      </c>
      <c r="AJ3195" s="2">
        <f t="shared" si="485"/>
        <v>0</v>
      </c>
      <c r="AK3195" s="2">
        <f t="shared" si="497"/>
        <v>254.71</v>
      </c>
      <c r="AL3195" s="5">
        <f t="shared" si="496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95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4"/>
        <v>0</v>
      </c>
      <c r="AG3196" s="2">
        <v>647.05999999999995</v>
      </c>
      <c r="AJ3196" s="2">
        <f t="shared" si="485"/>
        <v>0</v>
      </c>
      <c r="AK3196" s="2">
        <f t="shared" si="497"/>
        <v>552.94000000000005</v>
      </c>
      <c r="AL3196" s="5">
        <f t="shared" si="496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95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3230</v>
      </c>
      <c r="AF3197" s="2">
        <f t="shared" si="484"/>
        <v>0</v>
      </c>
      <c r="AG3197" s="2">
        <v>647.05999999999995</v>
      </c>
      <c r="AJ3197" s="2">
        <f t="shared" si="485"/>
        <v>0</v>
      </c>
      <c r="AK3197" s="2">
        <f t="shared" si="497"/>
        <v>534.44000000000005</v>
      </c>
      <c r="AL3197" s="5">
        <f t="shared" si="496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95"/>
        <v>0.4823015054650443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4"/>
        <v>0</v>
      </c>
      <c r="AG3198" s="2">
        <v>125.51600000000001</v>
      </c>
      <c r="AH3198" s="2">
        <v>220</v>
      </c>
      <c r="AJ3198" s="2">
        <f t="shared" si="485"/>
        <v>0</v>
      </c>
      <c r="AK3198" s="2">
        <f t="shared" si="497"/>
        <v>116.93399999999998</v>
      </c>
      <c r="AL3198" s="5">
        <f t="shared" si="496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95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4"/>
        <v>0</v>
      </c>
      <c r="AG3199" s="2">
        <v>125.51600000000001</v>
      </c>
      <c r="AH3199" s="2">
        <v>220</v>
      </c>
      <c r="AJ3199" s="2">
        <f t="shared" si="485"/>
        <v>0</v>
      </c>
      <c r="AK3199" s="2">
        <f t="shared" si="497"/>
        <v>188.96799999999999</v>
      </c>
      <c r="AL3199" s="5">
        <f t="shared" si="496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95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4"/>
        <v>0</v>
      </c>
      <c r="AG3200" s="2">
        <v>125.51600000000001</v>
      </c>
      <c r="AH3200" s="2">
        <v>220</v>
      </c>
      <c r="AJ3200" s="2">
        <f t="shared" si="485"/>
        <v>0</v>
      </c>
      <c r="AK3200" s="2">
        <f t="shared" si="497"/>
        <v>94.483999999999995</v>
      </c>
      <c r="AL3200" s="5">
        <f t="shared" si="496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95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si="484"/>
        <v>0</v>
      </c>
      <c r="AG3201" s="2">
        <v>125.51600000000001</v>
      </c>
      <c r="AH3201" s="2">
        <v>220</v>
      </c>
      <c r="AJ3201" s="2">
        <f t="shared" si="485"/>
        <v>0</v>
      </c>
      <c r="AK3201" s="2">
        <f t="shared" si="497"/>
        <v>94.483999999999995</v>
      </c>
      <c r="AL3201" s="5">
        <f t="shared" si="496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95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ref="AF3202:AF3265" si="498">AJ3202</f>
        <v>0</v>
      </c>
      <c r="AG3202" s="2">
        <v>125.51600000000001</v>
      </c>
      <c r="AH3202" s="2">
        <v>220</v>
      </c>
      <c r="AJ3202" s="2">
        <f t="shared" ref="AJ3202:AJ3265" si="499">AI3202*T3202</f>
        <v>0</v>
      </c>
      <c r="AK3202" s="2">
        <f t="shared" si="497"/>
        <v>94.483999999999995</v>
      </c>
      <c r="AL3202" s="5">
        <f t="shared" si="496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95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498"/>
        <v>0</v>
      </c>
      <c r="AG3203" s="2">
        <v>125.51600000000001</v>
      </c>
      <c r="AH3203" s="2">
        <v>220</v>
      </c>
      <c r="AJ3203" s="2">
        <f t="shared" si="499"/>
        <v>0</v>
      </c>
      <c r="AK3203" s="2">
        <f t="shared" si="497"/>
        <v>94.483999999999995</v>
      </c>
      <c r="AL3203" s="5">
        <f t="shared" si="496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95"/>
        <v>0.42947272727272723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498"/>
        <v>0</v>
      </c>
      <c r="AG3204" s="2">
        <v>125.51600000000001</v>
      </c>
      <c r="AH3204" s="2">
        <v>220</v>
      </c>
      <c r="AJ3204" s="2">
        <f t="shared" si="499"/>
        <v>0</v>
      </c>
      <c r="AK3204" s="2">
        <f t="shared" si="497"/>
        <v>94.483999999999995</v>
      </c>
      <c r="AL3204" s="5">
        <f t="shared" si="496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95"/>
        <v>0.42947272727272728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498"/>
        <v>0</v>
      </c>
      <c r="AG3205" s="2">
        <v>125.51600000000001</v>
      </c>
      <c r="AH3205" s="2">
        <v>220</v>
      </c>
      <c r="AJ3205" s="2">
        <f t="shared" si="499"/>
        <v>0</v>
      </c>
      <c r="AK3205" s="2">
        <f t="shared" si="497"/>
        <v>283.452</v>
      </c>
      <c r="AL3205" s="5">
        <f t="shared" si="496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95"/>
        <v>0.52504545454545459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498"/>
        <v>0</v>
      </c>
      <c r="AG3206" s="2">
        <v>104.49</v>
      </c>
      <c r="AH3206" s="2">
        <v>220</v>
      </c>
      <c r="AJ3206" s="2">
        <f t="shared" si="499"/>
        <v>0</v>
      </c>
      <c r="AK3206" s="2">
        <f t="shared" si="497"/>
        <v>115.51</v>
      </c>
      <c r="AL3206" s="5">
        <f t="shared" si="496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95"/>
        <v>0.5822058141332922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498"/>
        <v>0</v>
      </c>
      <c r="AG3207" s="2">
        <f>101.305+6.77</f>
        <v>108.075</v>
      </c>
      <c r="AH3207" s="2">
        <v>210</v>
      </c>
      <c r="AJ3207" s="2">
        <f t="shared" si="499"/>
        <v>0</v>
      </c>
      <c r="AK3207" s="2">
        <f t="shared" si="497"/>
        <v>150.60500000000002</v>
      </c>
      <c r="AL3207" s="5">
        <f t="shared" si="496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95"/>
        <v>0.50795652173913042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498"/>
        <v>0</v>
      </c>
      <c r="AG3208" s="2">
        <v>113.17</v>
      </c>
      <c r="AJ3208" s="2">
        <f t="shared" si="499"/>
        <v>0</v>
      </c>
      <c r="AK3208" s="2">
        <f t="shared" si="497"/>
        <v>116.83</v>
      </c>
      <c r="AL3208" s="5">
        <f t="shared" si="496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95"/>
        <v>0.44790909090909092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498"/>
        <v>0</v>
      </c>
      <c r="AG3209" s="2">
        <v>121.46</v>
      </c>
      <c r="AH3209" s="2">
        <v>210</v>
      </c>
      <c r="AJ3209" s="2">
        <f t="shared" si="499"/>
        <v>0</v>
      </c>
      <c r="AK3209" s="2">
        <f t="shared" si="497"/>
        <v>197.08</v>
      </c>
      <c r="AL3209" s="5">
        <f t="shared" si="496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95"/>
        <v>0.41775652173913047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498"/>
        <v>0</v>
      </c>
      <c r="AJ3210" s="2">
        <f t="shared" si="499"/>
        <v>0</v>
      </c>
      <c r="AK3210" s="2">
        <f t="shared" si="497"/>
        <v>96.084000000000003</v>
      </c>
      <c r="AL3210" s="5">
        <f t="shared" si="496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95"/>
        <v>0.42639130434782607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498"/>
        <v>0</v>
      </c>
      <c r="AG3211" s="2">
        <v>131.93</v>
      </c>
      <c r="AH3211" s="2">
        <v>220</v>
      </c>
      <c r="AJ3211" s="2">
        <f t="shared" si="499"/>
        <v>0</v>
      </c>
      <c r="AK3211" s="2">
        <f t="shared" si="497"/>
        <v>98.07</v>
      </c>
      <c r="AL3211" s="5">
        <f t="shared" si="496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95"/>
        <v>0.46965217391304348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498"/>
        <v>0</v>
      </c>
      <c r="AJ3212" s="2">
        <f t="shared" si="499"/>
        <v>0</v>
      </c>
      <c r="AK3212" s="2">
        <f t="shared" si="497"/>
        <v>108.02</v>
      </c>
      <c r="AL3212" s="5">
        <f t="shared" si="496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95"/>
        <v>0.48486363636363639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498"/>
        <v>0</v>
      </c>
      <c r="AG3213" s="2">
        <v>113.33</v>
      </c>
      <c r="AH3213" s="2">
        <v>220</v>
      </c>
      <c r="AJ3213" s="2">
        <f t="shared" si="499"/>
        <v>0</v>
      </c>
      <c r="AK3213" s="2">
        <f t="shared" si="497"/>
        <v>106.67</v>
      </c>
      <c r="AL3213" s="5">
        <f t="shared" si="496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95"/>
        <v>0.11271014492753624</v>
      </c>
      <c r="Z3214" s="2" t="s">
        <v>3226</v>
      </c>
      <c r="AA3214" s="2" t="s">
        <v>75</v>
      </c>
      <c r="AB3214" s="2" t="s">
        <v>76</v>
      </c>
      <c r="AC3214" s="2" t="s">
        <v>77</v>
      </c>
      <c r="AF3214" s="2">
        <f t="shared" si="498"/>
        <v>0</v>
      </c>
      <c r="AG3214" s="2">
        <v>122.446</v>
      </c>
      <c r="AH3214" s="2">
        <v>230</v>
      </c>
      <c r="AJ3214" s="2">
        <f t="shared" si="499"/>
        <v>0</v>
      </c>
      <c r="AK3214" s="2">
        <f t="shared" si="497"/>
        <v>15.554000000000002</v>
      </c>
      <c r="AL3214" s="5">
        <f t="shared" si="496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W3215" s="2">
        <v>868.26</v>
      </c>
      <c r="X3215" s="18">
        <f>SIGN(T3215)*((ABS(T3215)-W3215)/ABS(T3215))</f>
        <v>-0.53514543770511991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498"/>
        <v>0</v>
      </c>
      <c r="AG3215" s="2">
        <f>868.26+3.61</f>
        <v>871.87</v>
      </c>
      <c r="AJ3215" s="2">
        <f t="shared" si="499"/>
        <v>0</v>
      </c>
      <c r="AK3215" s="2">
        <f t="shared" si="497"/>
        <v>-2736.0699999999997</v>
      </c>
      <c r="AL3215" s="18">
        <f t="shared" ref="AL3215" si="500">SIGN(T3215)*((ABS(T3215)-W3215)/ABS(T3215))</f>
        <v>-0.53514543770511991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501">(T3216-W3216)/T3216</f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498"/>
        <v>0</v>
      </c>
      <c r="AG3216" s="2">
        <v>110.68</v>
      </c>
      <c r="AH3216" s="2">
        <v>210</v>
      </c>
      <c r="AJ3216" s="2">
        <f t="shared" si="499"/>
        <v>0</v>
      </c>
      <c r="AK3216" s="2">
        <f t="shared" ref="AK3216:AK3261" si="502">T3216-W3216</f>
        <v>99.32</v>
      </c>
      <c r="AL3216" s="5">
        <f t="shared" ref="AL3216:AL3261" si="503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501"/>
        <v>0.4729523809523809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498"/>
        <v>0</v>
      </c>
      <c r="AG3217" s="2">
        <v>110.68</v>
      </c>
      <c r="AH3217" s="2">
        <v>210</v>
      </c>
      <c r="AJ3217" s="2">
        <f t="shared" si="499"/>
        <v>0</v>
      </c>
      <c r="AK3217" s="2">
        <f t="shared" si="502"/>
        <v>99.32</v>
      </c>
      <c r="AL3217" s="5">
        <f t="shared" si="503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501"/>
        <v>0.37409499358151477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498"/>
        <v>0</v>
      </c>
      <c r="AG3218" s="2">
        <f>110.125+11.77</f>
        <v>121.895</v>
      </c>
      <c r="AJ3218" s="2">
        <f t="shared" si="499"/>
        <v>0</v>
      </c>
      <c r="AK3218" s="2">
        <f t="shared" si="502"/>
        <v>72.855000000000004</v>
      </c>
      <c r="AL3218" s="5">
        <f t="shared" si="503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501"/>
        <v>0.44431818181818183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498"/>
        <v>0</v>
      </c>
      <c r="AJ3219" s="2">
        <f t="shared" si="499"/>
        <v>0</v>
      </c>
      <c r="AK3219" s="2">
        <f t="shared" si="502"/>
        <v>97.75</v>
      </c>
      <c r="AL3219" s="5">
        <f t="shared" si="503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501"/>
        <v>0.40663819875776402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498"/>
        <v>0</v>
      </c>
      <c r="AJ3220" s="2">
        <f t="shared" si="499"/>
        <v>0</v>
      </c>
      <c r="AK3220" s="2">
        <f t="shared" si="502"/>
        <v>104.75000000000003</v>
      </c>
      <c r="AL3220" s="5">
        <f t="shared" si="503"/>
        <v>0.40663819875776402</v>
      </c>
    </row>
    <row r="3221" spans="1:38" x14ac:dyDescent="0.2">
      <c r="A3221" s="2">
        <v>2026</v>
      </c>
      <c r="B3221" s="2">
        <v>2</v>
      </c>
      <c r="C3221" s="2" t="s">
        <v>3299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501"/>
        <v>0.46964</v>
      </c>
      <c r="Z3221" s="2" t="s">
        <v>3226</v>
      </c>
      <c r="AA3221" s="2" t="s">
        <v>75</v>
      </c>
      <c r="AB3221" s="2" t="s">
        <v>76</v>
      </c>
      <c r="AC3221" s="2" t="s">
        <v>77</v>
      </c>
      <c r="AF3221" s="2">
        <f t="shared" si="498"/>
        <v>0</v>
      </c>
      <c r="AJ3221" s="2">
        <f t="shared" si="499"/>
        <v>0</v>
      </c>
      <c r="AK3221" s="2">
        <f t="shared" si="502"/>
        <v>117.41</v>
      </c>
      <c r="AL3221" s="5">
        <f t="shared" si="503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501"/>
        <v>0.45475543478260871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498"/>
        <v>0</v>
      </c>
      <c r="AJ3222" s="2">
        <f t="shared" si="499"/>
        <v>0</v>
      </c>
      <c r="AK3222" s="2">
        <f t="shared" si="502"/>
        <v>803.28000000000009</v>
      </c>
      <c r="AL3222" s="5">
        <f t="shared" si="503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501"/>
        <v>0.48408421052631578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498"/>
        <v>0</v>
      </c>
      <c r="AJ3223" s="2">
        <f t="shared" si="499"/>
        <v>0</v>
      </c>
      <c r="AK3223" s="2">
        <f t="shared" si="502"/>
        <v>229.94</v>
      </c>
      <c r="AL3223" s="5">
        <f t="shared" si="503"/>
        <v>0.48408421052631578</v>
      </c>
    </row>
    <row r="3224" spans="1:38" x14ac:dyDescent="0.2">
      <c r="A3224" s="2">
        <v>2026</v>
      </c>
      <c r="B3224" s="2">
        <v>2</v>
      </c>
      <c r="C3224" s="2" t="s">
        <v>3320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501"/>
        <v>0.57005263157894737</v>
      </c>
      <c r="Z3224" s="2" t="s">
        <v>3226</v>
      </c>
      <c r="AA3224" s="2" t="s">
        <v>75</v>
      </c>
      <c r="AB3224" s="2" t="s">
        <v>76</v>
      </c>
      <c r="AC3224" s="2" t="s">
        <v>1038</v>
      </c>
      <c r="AF3224" s="2">
        <f t="shared" si="498"/>
        <v>0</v>
      </c>
      <c r="AJ3224" s="2">
        <f t="shared" si="499"/>
        <v>0</v>
      </c>
      <c r="AK3224" s="2">
        <f t="shared" si="502"/>
        <v>162.465</v>
      </c>
      <c r="AL3224" s="5">
        <f t="shared" si="503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501"/>
        <v>0.59743333333333337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498"/>
        <v>0</v>
      </c>
      <c r="AJ3225" s="2">
        <f t="shared" si="499"/>
        <v>0</v>
      </c>
      <c r="AK3225" s="2">
        <f t="shared" si="502"/>
        <v>3.5846</v>
      </c>
      <c r="AL3225" s="5">
        <f t="shared" si="503"/>
        <v>0.59743333333333337</v>
      </c>
    </row>
    <row r="3226" spans="1:38" x14ac:dyDescent="0.2">
      <c r="A3226" s="2">
        <v>2026</v>
      </c>
      <c r="B3226" s="2">
        <v>2</v>
      </c>
      <c r="C3226" s="2" t="s">
        <v>3411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0</v>
      </c>
      <c r="U3226" s="2">
        <v>0</v>
      </c>
      <c r="V3226" s="2">
        <v>0</v>
      </c>
      <c r="W3226" s="2">
        <v>0</v>
      </c>
      <c r="X3226" s="5">
        <v>0</v>
      </c>
      <c r="Z3226" s="2" t="s">
        <v>3226</v>
      </c>
      <c r="AA3226" s="2" t="s">
        <v>87</v>
      </c>
      <c r="AB3226" s="2" t="s">
        <v>90</v>
      </c>
      <c r="AC3226" s="2" t="s">
        <v>84</v>
      </c>
      <c r="AF3226" s="2">
        <f t="shared" si="498"/>
        <v>0</v>
      </c>
      <c r="AJ3226" s="2">
        <f t="shared" si="499"/>
        <v>0</v>
      </c>
      <c r="AK3226" s="2">
        <f t="shared" si="502"/>
        <v>0</v>
      </c>
      <c r="AL3226" s="5" t="e">
        <f t="shared" si="503"/>
        <v>#DIV/0!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501"/>
        <v>1</v>
      </c>
      <c r="Z3227" s="2" t="s">
        <v>3226</v>
      </c>
      <c r="AA3227" s="2" t="s">
        <v>87</v>
      </c>
      <c r="AB3227" s="2" t="s">
        <v>60</v>
      </c>
      <c r="AC3227" s="2" t="s">
        <v>84</v>
      </c>
      <c r="AF3227" s="2">
        <f t="shared" si="498"/>
        <v>0</v>
      </c>
      <c r="AJ3227" s="2">
        <f t="shared" si="499"/>
        <v>0</v>
      </c>
      <c r="AK3227" s="2">
        <f t="shared" si="502"/>
        <v>77</v>
      </c>
      <c r="AL3227" s="5">
        <f t="shared" si="503"/>
        <v>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501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498"/>
        <v>0</v>
      </c>
      <c r="AJ3228" s="2">
        <f t="shared" si="499"/>
        <v>0</v>
      </c>
      <c r="AK3228" s="2">
        <f t="shared" si="502"/>
        <v>1020</v>
      </c>
      <c r="AL3228" s="5">
        <f t="shared" si="503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3394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501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3394</v>
      </c>
      <c r="AF3229" s="2">
        <f t="shared" si="498"/>
        <v>0</v>
      </c>
      <c r="AG3229" s="2">
        <f>527.7299+435.61</f>
        <v>963.33990000000006</v>
      </c>
      <c r="AJ3229" s="2">
        <f t="shared" si="499"/>
        <v>0</v>
      </c>
      <c r="AK3229" s="2">
        <f t="shared" si="502"/>
        <v>1544.1601000000001</v>
      </c>
      <c r="AL3229" s="5">
        <f t="shared" si="503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3394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501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3394</v>
      </c>
      <c r="AF3230" s="2">
        <f t="shared" si="498"/>
        <v>0</v>
      </c>
      <c r="AG3230" s="2">
        <f>729.1005+601.82</f>
        <v>1330.9205000000002</v>
      </c>
      <c r="AJ3230" s="2">
        <f t="shared" si="499"/>
        <v>0</v>
      </c>
      <c r="AK3230" s="2">
        <f t="shared" si="502"/>
        <v>1262.1295000000002</v>
      </c>
      <c r="AL3230" s="5">
        <f t="shared" si="503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501"/>
        <v>0.37759118341642617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498"/>
        <v>0</v>
      </c>
      <c r="AJ3231" s="2">
        <f t="shared" si="499"/>
        <v>0</v>
      </c>
      <c r="AK3231" s="2">
        <f t="shared" si="502"/>
        <v>230.24</v>
      </c>
      <c r="AL3231" s="5">
        <f t="shared" si="503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501"/>
        <v>0.37574055472417545</v>
      </c>
      <c r="Z3232" s="2" t="s">
        <v>3226</v>
      </c>
      <c r="AA3232" s="2" t="s">
        <v>1041</v>
      </c>
      <c r="AB3232" s="2" t="s">
        <v>1270</v>
      </c>
      <c r="AC3232" s="2" t="s">
        <v>1038</v>
      </c>
      <c r="AF3232" s="2">
        <f t="shared" si="498"/>
        <v>0</v>
      </c>
      <c r="AJ3232" s="2">
        <f t="shared" si="499"/>
        <v>0</v>
      </c>
      <c r="AK3232" s="2">
        <f t="shared" si="502"/>
        <v>183.29000000000002</v>
      </c>
      <c r="AL3232" s="5">
        <f t="shared" si="503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501"/>
        <v>0.28744631950350374</v>
      </c>
      <c r="Z3233" s="2" t="s">
        <v>3226</v>
      </c>
      <c r="AA3233" s="2" t="s">
        <v>1041</v>
      </c>
      <c r="AB3233" s="2" t="s">
        <v>2168</v>
      </c>
      <c r="AC3233" s="2" t="s">
        <v>1038</v>
      </c>
      <c r="AF3233" s="2">
        <f t="shared" si="498"/>
        <v>0</v>
      </c>
      <c r="AJ3233" s="2">
        <f t="shared" si="499"/>
        <v>0</v>
      </c>
      <c r="AK3233" s="2">
        <f t="shared" si="502"/>
        <v>408.97</v>
      </c>
      <c r="AL3233" s="5">
        <f t="shared" si="503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501"/>
        <v>1</v>
      </c>
      <c r="Z3234" s="2" t="s">
        <v>119</v>
      </c>
      <c r="AA3234" s="2" t="s">
        <v>492</v>
      </c>
      <c r="AF3234" s="2">
        <f t="shared" si="498"/>
        <v>0</v>
      </c>
      <c r="AJ3234" s="2">
        <f t="shared" si="499"/>
        <v>0</v>
      </c>
      <c r="AK3234" s="2">
        <f t="shared" si="502"/>
        <v>664.04</v>
      </c>
      <c r="AL3234" s="5">
        <f t="shared" si="503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501"/>
        <v>1</v>
      </c>
      <c r="Z3235" s="2" t="s">
        <v>117</v>
      </c>
      <c r="AA3235" s="2" t="s">
        <v>317</v>
      </c>
      <c r="AF3235" s="2">
        <f t="shared" si="498"/>
        <v>0</v>
      </c>
      <c r="AJ3235" s="2">
        <f t="shared" si="499"/>
        <v>0</v>
      </c>
      <c r="AK3235" s="2">
        <f t="shared" si="502"/>
        <v>696.5</v>
      </c>
      <c r="AL3235" s="5">
        <f t="shared" si="503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501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98"/>
        <v>0</v>
      </c>
      <c r="AG3236" s="2">
        <f t="shared" ref="AG3236:AG3267" si="504">W3236</f>
        <v>27.5</v>
      </c>
      <c r="AJ3236" s="2">
        <f t="shared" si="499"/>
        <v>0</v>
      </c>
      <c r="AK3236" s="2">
        <f t="shared" si="502"/>
        <v>27.5</v>
      </c>
      <c r="AL3236" s="5">
        <f t="shared" si="503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501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98"/>
        <v>0</v>
      </c>
      <c r="AG3237" s="2">
        <f t="shared" si="504"/>
        <v>40</v>
      </c>
      <c r="AJ3237" s="2">
        <f t="shared" si="499"/>
        <v>0</v>
      </c>
      <c r="AK3237" s="2">
        <f t="shared" si="502"/>
        <v>60</v>
      </c>
      <c r="AL3237" s="5">
        <f t="shared" si="503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501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98"/>
        <v>0</v>
      </c>
      <c r="AG3238" s="2">
        <f t="shared" si="504"/>
        <v>110</v>
      </c>
      <c r="AJ3238" s="2">
        <f t="shared" si="499"/>
        <v>0</v>
      </c>
      <c r="AK3238" s="2">
        <f t="shared" si="502"/>
        <v>110</v>
      </c>
      <c r="AL3238" s="5">
        <f t="shared" si="503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501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98"/>
        <v>0</v>
      </c>
      <c r="AG3239" s="2">
        <f t="shared" si="504"/>
        <v>87.600000000000009</v>
      </c>
      <c r="AJ3239" s="2">
        <f t="shared" si="499"/>
        <v>0</v>
      </c>
      <c r="AK3239" s="2">
        <f t="shared" si="502"/>
        <v>131.39999999999998</v>
      </c>
      <c r="AL3239" s="5">
        <f t="shared" si="503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501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98"/>
        <v>0</v>
      </c>
      <c r="AG3240" s="2">
        <f t="shared" si="504"/>
        <v>82.5</v>
      </c>
      <c r="AJ3240" s="2">
        <f t="shared" si="499"/>
        <v>0</v>
      </c>
      <c r="AK3240" s="2">
        <f t="shared" si="502"/>
        <v>82.5</v>
      </c>
      <c r="AL3240" s="5">
        <f t="shared" si="503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501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98"/>
        <v>0</v>
      </c>
      <c r="AG3241" s="2">
        <f t="shared" si="504"/>
        <v>55.2</v>
      </c>
      <c r="AJ3241" s="2">
        <f t="shared" si="499"/>
        <v>0</v>
      </c>
      <c r="AK3241" s="2">
        <f t="shared" si="502"/>
        <v>82.8</v>
      </c>
      <c r="AL3241" s="5">
        <f t="shared" si="503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501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98"/>
        <v>0</v>
      </c>
      <c r="AG3242" s="2">
        <f t="shared" si="504"/>
        <v>18.75</v>
      </c>
      <c r="AJ3242" s="2">
        <f t="shared" si="499"/>
        <v>0</v>
      </c>
      <c r="AK3242" s="2">
        <f t="shared" si="502"/>
        <v>18.75</v>
      </c>
      <c r="AL3242" s="5">
        <f t="shared" si="503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501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98"/>
        <v>0</v>
      </c>
      <c r="AG3243" s="2">
        <f t="shared" si="504"/>
        <v>22</v>
      </c>
      <c r="AJ3243" s="2">
        <f t="shared" si="499"/>
        <v>0</v>
      </c>
      <c r="AK3243" s="2">
        <f t="shared" si="502"/>
        <v>33</v>
      </c>
      <c r="AL3243" s="5">
        <f t="shared" si="503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501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98"/>
        <v>0</v>
      </c>
      <c r="AG3244" s="2">
        <f t="shared" si="504"/>
        <v>55</v>
      </c>
      <c r="AJ3244" s="2">
        <f t="shared" si="499"/>
        <v>0</v>
      </c>
      <c r="AK3244" s="2">
        <f t="shared" si="502"/>
        <v>55</v>
      </c>
      <c r="AL3244" s="5">
        <f t="shared" si="503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501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98"/>
        <v>0</v>
      </c>
      <c r="AG3245" s="2">
        <f t="shared" si="504"/>
        <v>117.2</v>
      </c>
      <c r="AJ3245" s="2">
        <f t="shared" si="499"/>
        <v>0</v>
      </c>
      <c r="AK3245" s="2">
        <f t="shared" si="502"/>
        <v>175.8</v>
      </c>
      <c r="AL3245" s="5">
        <f t="shared" si="503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501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98"/>
        <v>0</v>
      </c>
      <c r="AG3246" s="2">
        <f t="shared" si="504"/>
        <v>43.75</v>
      </c>
      <c r="AJ3246" s="2">
        <f t="shared" si="499"/>
        <v>0</v>
      </c>
      <c r="AK3246" s="2">
        <f t="shared" si="502"/>
        <v>43.75</v>
      </c>
      <c r="AL3246" s="5">
        <f t="shared" si="503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501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98"/>
        <v>0</v>
      </c>
      <c r="AG3247" s="2">
        <f t="shared" si="504"/>
        <v>20</v>
      </c>
      <c r="AJ3247" s="2">
        <f t="shared" si="499"/>
        <v>0</v>
      </c>
      <c r="AK3247" s="2">
        <f t="shared" si="502"/>
        <v>30</v>
      </c>
      <c r="AL3247" s="5">
        <f t="shared" si="503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501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98"/>
        <v>0</v>
      </c>
      <c r="AG3248" s="2">
        <f t="shared" si="504"/>
        <v>31.25</v>
      </c>
      <c r="AJ3248" s="2">
        <f t="shared" si="499"/>
        <v>0</v>
      </c>
      <c r="AK3248" s="2">
        <f t="shared" si="502"/>
        <v>31.25</v>
      </c>
      <c r="AL3248" s="5">
        <f t="shared" si="503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501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98"/>
        <v>0</v>
      </c>
      <c r="AG3249" s="2">
        <f t="shared" si="504"/>
        <v>22</v>
      </c>
      <c r="AJ3249" s="2">
        <f t="shared" si="499"/>
        <v>0</v>
      </c>
      <c r="AK3249" s="2">
        <f t="shared" si="502"/>
        <v>33</v>
      </c>
      <c r="AL3249" s="5">
        <f t="shared" si="503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501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98"/>
        <v>0</v>
      </c>
      <c r="AG3250" s="2">
        <f t="shared" si="504"/>
        <v>27.5</v>
      </c>
      <c r="AJ3250" s="2">
        <f t="shared" si="499"/>
        <v>0</v>
      </c>
      <c r="AK3250" s="2">
        <f t="shared" si="502"/>
        <v>27.5</v>
      </c>
      <c r="AL3250" s="5">
        <f t="shared" si="503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501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98"/>
        <v>0</v>
      </c>
      <c r="AG3251" s="2">
        <f t="shared" si="504"/>
        <v>35.200000000000003</v>
      </c>
      <c r="AJ3251" s="2">
        <f t="shared" si="499"/>
        <v>0</v>
      </c>
      <c r="AK3251" s="2">
        <f t="shared" si="502"/>
        <v>52.8</v>
      </c>
      <c r="AL3251" s="5">
        <f t="shared" si="503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501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98"/>
        <v>0</v>
      </c>
      <c r="AG3252" s="2">
        <f t="shared" si="504"/>
        <v>25</v>
      </c>
      <c r="AJ3252" s="2">
        <f t="shared" si="499"/>
        <v>0</v>
      </c>
      <c r="AK3252" s="2">
        <f t="shared" si="502"/>
        <v>25</v>
      </c>
      <c r="AL3252" s="5">
        <f t="shared" si="503"/>
        <v>0.5</v>
      </c>
    </row>
    <row r="3253" spans="1:38" x14ac:dyDescent="0.2">
      <c r="A3253" s="2">
        <v>2026</v>
      </c>
      <c r="B3253" s="2">
        <v>4</v>
      </c>
      <c r="C3253" s="2" t="s">
        <v>3450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501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98"/>
        <v>0</v>
      </c>
      <c r="AG3253" s="2">
        <f t="shared" si="504"/>
        <v>24</v>
      </c>
      <c r="AJ3253" s="2">
        <f t="shared" si="499"/>
        <v>0</v>
      </c>
      <c r="AK3253" s="2">
        <f t="shared" si="502"/>
        <v>36</v>
      </c>
      <c r="AL3253" s="5">
        <f t="shared" si="503"/>
        <v>0.6</v>
      </c>
    </row>
    <row r="3254" spans="1:38" x14ac:dyDescent="0.2">
      <c r="A3254" s="2">
        <v>2026</v>
      </c>
      <c r="B3254" s="2">
        <v>4</v>
      </c>
      <c r="C3254" s="2" t="s">
        <v>3450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501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98"/>
        <v>0</v>
      </c>
      <c r="AG3254" s="2">
        <f t="shared" si="504"/>
        <v>27.5</v>
      </c>
      <c r="AJ3254" s="2">
        <f t="shared" si="499"/>
        <v>0</v>
      </c>
      <c r="AK3254" s="2">
        <f t="shared" si="502"/>
        <v>27.5</v>
      </c>
      <c r="AL3254" s="5">
        <f t="shared" si="503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501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98"/>
        <v>0</v>
      </c>
      <c r="AG3255" s="2">
        <f t="shared" si="504"/>
        <v>44</v>
      </c>
      <c r="AJ3255" s="2">
        <f t="shared" si="499"/>
        <v>0</v>
      </c>
      <c r="AK3255" s="2">
        <f t="shared" si="502"/>
        <v>66</v>
      </c>
      <c r="AL3255" s="5">
        <f t="shared" si="503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501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98"/>
        <v>0</v>
      </c>
      <c r="AG3256" s="2">
        <f t="shared" si="504"/>
        <v>103.125</v>
      </c>
      <c r="AJ3256" s="2">
        <f t="shared" si="499"/>
        <v>0</v>
      </c>
      <c r="AK3256" s="2">
        <f t="shared" si="502"/>
        <v>103.125</v>
      </c>
      <c r="AL3256" s="5">
        <f t="shared" si="503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501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98"/>
        <v>0</v>
      </c>
      <c r="AG3257" s="2">
        <f t="shared" si="504"/>
        <v>84</v>
      </c>
      <c r="AJ3257" s="2">
        <f t="shared" si="499"/>
        <v>0</v>
      </c>
      <c r="AK3257" s="2">
        <f t="shared" si="502"/>
        <v>126</v>
      </c>
      <c r="AL3257" s="5">
        <f t="shared" si="503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501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98"/>
        <v>0</v>
      </c>
      <c r="AG3258" s="2">
        <f t="shared" si="504"/>
        <v>37.5</v>
      </c>
      <c r="AJ3258" s="2">
        <f t="shared" si="499"/>
        <v>0</v>
      </c>
      <c r="AK3258" s="2">
        <f t="shared" si="502"/>
        <v>37.5</v>
      </c>
      <c r="AL3258" s="5">
        <f t="shared" si="503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501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98"/>
        <v>0</v>
      </c>
      <c r="AG3259" s="2">
        <f t="shared" si="504"/>
        <v>65.600000000000009</v>
      </c>
      <c r="AJ3259" s="2">
        <f t="shared" si="499"/>
        <v>0</v>
      </c>
      <c r="AK3259" s="2">
        <f t="shared" si="502"/>
        <v>98.399999999999991</v>
      </c>
      <c r="AL3259" s="5">
        <f t="shared" si="503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501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98"/>
        <v>0</v>
      </c>
      <c r="AG3260" s="2">
        <f t="shared" si="504"/>
        <v>68.75</v>
      </c>
      <c r="AJ3260" s="2">
        <f t="shared" si="499"/>
        <v>0</v>
      </c>
      <c r="AK3260" s="2">
        <f t="shared" si="502"/>
        <v>68.75</v>
      </c>
      <c r="AL3260" s="5">
        <f t="shared" si="503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501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98"/>
        <v>0</v>
      </c>
      <c r="AG3261" s="2">
        <f t="shared" si="504"/>
        <v>23.200000000000003</v>
      </c>
      <c r="AJ3261" s="2">
        <f t="shared" si="499"/>
        <v>0</v>
      </c>
      <c r="AK3261" s="2">
        <f t="shared" si="502"/>
        <v>34.799999999999997</v>
      </c>
      <c r="AL3261" s="5">
        <f t="shared" si="503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98"/>
        <v>0</v>
      </c>
      <c r="AG3262" s="2">
        <f t="shared" si="504"/>
        <v>0</v>
      </c>
      <c r="AJ3262" s="2">
        <f t="shared" si="499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C3263" s="2" t="s">
        <v>3450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505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98"/>
        <v>0</v>
      </c>
      <c r="AG3263" s="2">
        <f t="shared" si="504"/>
        <v>174</v>
      </c>
      <c r="AJ3263" s="2">
        <f t="shared" si="499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C3264" s="2" t="s">
        <v>3450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505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98"/>
        <v>0</v>
      </c>
      <c r="AG3264" s="2">
        <f t="shared" si="504"/>
        <v>261.25</v>
      </c>
      <c r="AJ3264" s="2">
        <f t="shared" si="499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505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98"/>
        <v>0</v>
      </c>
      <c r="AG3265" s="2">
        <f t="shared" si="504"/>
        <v>41.2</v>
      </c>
      <c r="AJ3265" s="2">
        <f t="shared" si="499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505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506">AJ3266</f>
        <v>0</v>
      </c>
      <c r="AG3266" s="2">
        <f t="shared" si="504"/>
        <v>20.625</v>
      </c>
      <c r="AJ3266" s="2">
        <f t="shared" ref="AJ3266:AJ3329" si="507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505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506"/>
        <v>0</v>
      </c>
      <c r="AG3267" s="2">
        <f t="shared" si="504"/>
        <v>49.6</v>
      </c>
      <c r="AJ3267" s="2">
        <f t="shared" si="507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3320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505"/>
        <v>-0.53333333333333333</v>
      </c>
      <c r="Z3268" s="2" t="s">
        <v>169</v>
      </c>
      <c r="AA3268" s="2" t="s">
        <v>169</v>
      </c>
      <c r="AF3268" s="2">
        <f t="shared" si="506"/>
        <v>0</v>
      </c>
      <c r="AJ3268" s="2">
        <f t="shared" si="507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505"/>
        <v>0.08</v>
      </c>
      <c r="Z3269" s="2" t="s">
        <v>169</v>
      </c>
      <c r="AA3269" s="2" t="s">
        <v>169</v>
      </c>
      <c r="AF3269" s="2">
        <f t="shared" si="506"/>
        <v>0</v>
      </c>
      <c r="AJ3269" s="2">
        <f t="shared" si="507"/>
        <v>0</v>
      </c>
      <c r="AK3269" s="2">
        <f t="shared" ref="AK3269:AK3276" si="508">T3269-W3269</f>
        <v>4</v>
      </c>
      <c r="AL3269" s="5">
        <f t="shared" ref="AL3269:AL3275" si="509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505"/>
        <v>0.1</v>
      </c>
      <c r="Z3270" s="2" t="s">
        <v>169</v>
      </c>
      <c r="AA3270" s="2" t="s">
        <v>169</v>
      </c>
      <c r="AF3270" s="2">
        <f t="shared" si="506"/>
        <v>0</v>
      </c>
      <c r="AJ3270" s="2">
        <f t="shared" si="507"/>
        <v>0</v>
      </c>
      <c r="AK3270" s="2">
        <f t="shared" si="508"/>
        <v>10</v>
      </c>
      <c r="AL3270" s="5">
        <f t="shared" si="509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05"/>
        <v>0.25</v>
      </c>
      <c r="Z3271" s="2" t="s">
        <v>169</v>
      </c>
      <c r="AA3271" s="2" t="s">
        <v>169</v>
      </c>
      <c r="AF3271" s="2">
        <f t="shared" si="506"/>
        <v>0</v>
      </c>
      <c r="AJ3271" s="2">
        <f t="shared" si="507"/>
        <v>0</v>
      </c>
      <c r="AK3271" s="2">
        <f t="shared" si="508"/>
        <v>2</v>
      </c>
      <c r="AL3271" s="5">
        <f t="shared" si="509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05"/>
        <v>0.25</v>
      </c>
      <c r="Z3272" s="2" t="s">
        <v>169</v>
      </c>
      <c r="AA3272" s="2" t="s">
        <v>169</v>
      </c>
      <c r="AF3272" s="2">
        <f t="shared" si="506"/>
        <v>0</v>
      </c>
      <c r="AJ3272" s="2">
        <f t="shared" si="507"/>
        <v>0</v>
      </c>
      <c r="AK3272" s="2">
        <f t="shared" si="508"/>
        <v>2</v>
      </c>
      <c r="AL3272" s="5">
        <f t="shared" si="509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3216</v>
      </c>
      <c r="J3273" s="2" t="s">
        <v>3215</v>
      </c>
      <c r="K3273" s="2">
        <v>913814877</v>
      </c>
      <c r="L3273" s="2" t="s">
        <v>201</v>
      </c>
      <c r="M3273" s="2" t="s">
        <v>80</v>
      </c>
      <c r="O3273" s="2" t="s">
        <v>3212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505"/>
        <v>0.25</v>
      </c>
      <c r="Z3273" s="2" t="s">
        <v>169</v>
      </c>
      <c r="AA3273" s="2" t="s">
        <v>169</v>
      </c>
      <c r="AF3273" s="2">
        <f t="shared" si="506"/>
        <v>0</v>
      </c>
      <c r="AJ3273" s="2">
        <f t="shared" si="507"/>
        <v>0</v>
      </c>
      <c r="AK3273" s="2">
        <f t="shared" si="508"/>
        <v>2</v>
      </c>
      <c r="AL3273" s="5">
        <f t="shared" si="509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05"/>
        <v>-0.2</v>
      </c>
      <c r="Z3274" s="2" t="s">
        <v>169</v>
      </c>
      <c r="AA3274" s="2" t="s">
        <v>169</v>
      </c>
      <c r="AF3274" s="2">
        <f t="shared" si="506"/>
        <v>0</v>
      </c>
      <c r="AJ3274" s="2">
        <f t="shared" si="507"/>
        <v>0</v>
      </c>
      <c r="AK3274" s="2">
        <f t="shared" si="508"/>
        <v>-1</v>
      </c>
      <c r="AL3274" s="5">
        <f t="shared" si="509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505"/>
        <v>-0.2</v>
      </c>
      <c r="Z3275" s="2" t="s">
        <v>169</v>
      </c>
      <c r="AA3275" s="2" t="s">
        <v>169</v>
      </c>
      <c r="AF3275" s="2">
        <f t="shared" si="506"/>
        <v>0</v>
      </c>
      <c r="AJ3275" s="2">
        <f t="shared" si="507"/>
        <v>0</v>
      </c>
      <c r="AK3275" s="2">
        <f t="shared" si="508"/>
        <v>-1</v>
      </c>
      <c r="AL3275" s="5">
        <f t="shared" si="509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X3276" s="18"/>
      <c r="Z3276" s="2" t="s">
        <v>119</v>
      </c>
      <c r="AA3276" s="2" t="s">
        <v>142</v>
      </c>
      <c r="AF3276" s="2">
        <f t="shared" si="506"/>
        <v>0</v>
      </c>
      <c r="AJ3276" s="2">
        <f t="shared" si="507"/>
        <v>0</v>
      </c>
      <c r="AK3276" s="2">
        <f t="shared" si="508"/>
        <v>-4.5</v>
      </c>
      <c r="AL3276" s="18"/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510">(T3277-W3277)/T3277</f>
        <v>1</v>
      </c>
      <c r="Z3277" s="2" t="s">
        <v>117</v>
      </c>
      <c r="AA3277" s="2" t="s">
        <v>1310</v>
      </c>
      <c r="AF3277" s="2">
        <f t="shared" si="506"/>
        <v>0</v>
      </c>
      <c r="AJ3277" s="2">
        <f t="shared" si="507"/>
        <v>0</v>
      </c>
      <c r="AK3277" s="2">
        <f t="shared" ref="AK3277:AK3317" si="511">T3277-W3277</f>
        <v>477.28</v>
      </c>
      <c r="AL3277" s="5">
        <f t="shared" ref="AL3277:AL3316" si="512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510"/>
        <v>2.000401846171453E-16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06"/>
        <v>0</v>
      </c>
      <c r="AJ3278" s="2">
        <f t="shared" si="507"/>
        <v>0</v>
      </c>
      <c r="AK3278" s="2">
        <f t="shared" si="511"/>
        <v>0</v>
      </c>
      <c r="AL3278" s="5">
        <f t="shared" si="512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510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06"/>
        <v>0</v>
      </c>
      <c r="AJ3279" s="2">
        <f t="shared" si="507"/>
        <v>0</v>
      </c>
      <c r="AK3279" s="2">
        <f t="shared" si="511"/>
        <v>0</v>
      </c>
      <c r="AL3279" s="5">
        <f t="shared" si="512"/>
        <v>0</v>
      </c>
    </row>
    <row r="3280" spans="1:38" x14ac:dyDescent="0.2">
      <c r="A3280" s="2">
        <v>2026</v>
      </c>
      <c r="B3280" s="2">
        <v>2</v>
      </c>
      <c r="C3280" s="2" t="s">
        <v>3320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0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06"/>
        <v>0</v>
      </c>
      <c r="AJ3280" s="2">
        <f t="shared" si="507"/>
        <v>0</v>
      </c>
      <c r="AK3280" s="2">
        <f t="shared" si="511"/>
        <v>0</v>
      </c>
      <c r="AL3280" s="5">
        <f t="shared" si="512"/>
        <v>0</v>
      </c>
    </row>
    <row r="3281" spans="1:38" x14ac:dyDescent="0.2">
      <c r="A3281" s="2">
        <v>2026</v>
      </c>
      <c r="B3281" s="2">
        <v>2</v>
      </c>
      <c r="C3281" s="2" t="s">
        <v>3299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510"/>
        <v>0</v>
      </c>
      <c r="Z3281" s="2" t="s">
        <v>3226</v>
      </c>
      <c r="AA3281" s="2" t="s">
        <v>96</v>
      </c>
      <c r="AB3281" s="2" t="s">
        <v>76</v>
      </c>
      <c r="AC3281" s="2" t="s">
        <v>93</v>
      </c>
      <c r="AF3281" s="2">
        <f t="shared" si="506"/>
        <v>0</v>
      </c>
      <c r="AJ3281" s="2">
        <f t="shared" si="507"/>
        <v>0</v>
      </c>
      <c r="AK3281" s="2">
        <f t="shared" si="511"/>
        <v>0</v>
      </c>
      <c r="AL3281" s="5">
        <f t="shared" si="512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510"/>
        <v>0.55714285714285716</v>
      </c>
      <c r="Z3282" s="2" t="s">
        <v>3226</v>
      </c>
      <c r="AA3282" s="2" t="s">
        <v>46</v>
      </c>
      <c r="AB3282" s="2" t="s">
        <v>47</v>
      </c>
      <c r="AC3282" s="2" t="s">
        <v>57</v>
      </c>
      <c r="AF3282" s="2">
        <f t="shared" si="506"/>
        <v>0</v>
      </c>
      <c r="AG3282" s="2">
        <v>9.3000000000000007</v>
      </c>
      <c r="AH3282" s="2">
        <v>21</v>
      </c>
      <c r="AJ3282" s="2">
        <f t="shared" si="507"/>
        <v>0</v>
      </c>
      <c r="AK3282" s="2">
        <f t="shared" si="511"/>
        <v>23.4</v>
      </c>
      <c r="AL3282" s="5">
        <f t="shared" si="512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0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06"/>
        <v>0</v>
      </c>
      <c r="AG3283" s="2">
        <v>1.48</v>
      </c>
      <c r="AH3283" s="2">
        <v>1.48</v>
      </c>
      <c r="AJ3283" s="2">
        <f t="shared" si="507"/>
        <v>0</v>
      </c>
      <c r="AK3283" s="2">
        <f t="shared" si="511"/>
        <v>0</v>
      </c>
      <c r="AL3283" s="5">
        <f t="shared" si="512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0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06"/>
        <v>0</v>
      </c>
      <c r="AJ3284" s="2">
        <f t="shared" si="507"/>
        <v>0</v>
      </c>
      <c r="AK3284" s="2">
        <f t="shared" si="511"/>
        <v>0</v>
      </c>
      <c r="AL3284" s="5">
        <f t="shared" si="512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510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06"/>
        <v>0</v>
      </c>
      <c r="AJ3285" s="2">
        <f t="shared" si="507"/>
        <v>0</v>
      </c>
      <c r="AK3285" s="2">
        <f t="shared" si="511"/>
        <v>0</v>
      </c>
      <c r="AL3285" s="5">
        <f t="shared" si="512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510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06"/>
        <v>0</v>
      </c>
      <c r="AJ3286" s="2">
        <f t="shared" si="507"/>
        <v>0</v>
      </c>
      <c r="AK3286" s="2">
        <f t="shared" si="511"/>
        <v>0</v>
      </c>
      <c r="AL3286" s="5">
        <f t="shared" si="512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510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06"/>
        <v>0</v>
      </c>
      <c r="AJ3287" s="2">
        <f t="shared" si="507"/>
        <v>0</v>
      </c>
      <c r="AK3287" s="2">
        <f t="shared" si="511"/>
        <v>0</v>
      </c>
      <c r="AL3287" s="5">
        <f t="shared" si="512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0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06"/>
        <v>0</v>
      </c>
      <c r="AJ3288" s="2">
        <f t="shared" si="507"/>
        <v>0</v>
      </c>
      <c r="AK3288" s="2">
        <f t="shared" si="511"/>
        <v>0</v>
      </c>
      <c r="AL3288" s="5">
        <f t="shared" si="512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510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06"/>
        <v>0</v>
      </c>
      <c r="AJ3289" s="2">
        <f t="shared" si="507"/>
        <v>0</v>
      </c>
      <c r="AK3289" s="2">
        <f t="shared" si="511"/>
        <v>0</v>
      </c>
      <c r="AL3289" s="5">
        <f t="shared" si="512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510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06"/>
        <v>0</v>
      </c>
      <c r="AJ3290" s="2">
        <f t="shared" si="507"/>
        <v>0</v>
      </c>
      <c r="AK3290" s="2">
        <f t="shared" si="511"/>
        <v>0</v>
      </c>
      <c r="AL3290" s="5">
        <f t="shared" si="512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510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06"/>
        <v>0</v>
      </c>
      <c r="AJ3291" s="2">
        <f t="shared" si="507"/>
        <v>0</v>
      </c>
      <c r="AK3291" s="2">
        <f t="shared" si="511"/>
        <v>0</v>
      </c>
      <c r="AL3291" s="5">
        <f t="shared" si="512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510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06"/>
        <v>0</v>
      </c>
      <c r="AJ3292" s="2">
        <f t="shared" si="507"/>
        <v>0</v>
      </c>
      <c r="AK3292" s="2">
        <f t="shared" si="511"/>
        <v>0</v>
      </c>
      <c r="AL3292" s="5">
        <f t="shared" si="512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0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06"/>
        <v>0</v>
      </c>
      <c r="AJ3293" s="2">
        <f t="shared" si="507"/>
        <v>0</v>
      </c>
      <c r="AK3293" s="2">
        <f t="shared" si="511"/>
        <v>0</v>
      </c>
      <c r="AL3293" s="5">
        <f t="shared" si="512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0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06"/>
        <v>0</v>
      </c>
      <c r="AG3294" s="2">
        <v>1.48</v>
      </c>
      <c r="AH3294" s="2">
        <v>1.48</v>
      </c>
      <c r="AJ3294" s="2">
        <f t="shared" si="507"/>
        <v>0</v>
      </c>
      <c r="AK3294" s="2">
        <f t="shared" si="511"/>
        <v>0</v>
      </c>
      <c r="AL3294" s="5">
        <f t="shared" si="512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0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06"/>
        <v>0</v>
      </c>
      <c r="AJ3295" s="2">
        <f t="shared" si="507"/>
        <v>0</v>
      </c>
      <c r="AK3295" s="2">
        <f t="shared" si="511"/>
        <v>0</v>
      </c>
      <c r="AL3295" s="5">
        <f t="shared" si="512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510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06"/>
        <v>0</v>
      </c>
      <c r="AG3296" s="2">
        <v>1.48</v>
      </c>
      <c r="AH3296" s="2">
        <v>1.48</v>
      </c>
      <c r="AJ3296" s="2">
        <f t="shared" si="507"/>
        <v>0</v>
      </c>
      <c r="AK3296" s="2">
        <f t="shared" si="511"/>
        <v>0</v>
      </c>
      <c r="AL3296" s="5">
        <f t="shared" si="512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510"/>
        <v>0</v>
      </c>
      <c r="Z3297" s="2" t="s">
        <v>3226</v>
      </c>
      <c r="AA3297" s="2" t="s">
        <v>96</v>
      </c>
      <c r="AB3297" s="2" t="s">
        <v>76</v>
      </c>
      <c r="AC3297" s="2" t="s">
        <v>93</v>
      </c>
      <c r="AF3297" s="2">
        <f t="shared" si="506"/>
        <v>0</v>
      </c>
      <c r="AJ3297" s="2">
        <f t="shared" si="507"/>
        <v>0</v>
      </c>
      <c r="AK3297" s="2">
        <f t="shared" si="511"/>
        <v>0</v>
      </c>
      <c r="AL3297" s="5">
        <f t="shared" si="512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510"/>
        <v>#DIV/0!</v>
      </c>
      <c r="Z3298" s="2" t="s">
        <v>117</v>
      </c>
      <c r="AA3298" s="2" t="s">
        <v>317</v>
      </c>
      <c r="AF3298" s="2">
        <f t="shared" si="506"/>
        <v>0</v>
      </c>
      <c r="AJ3298" s="2">
        <f t="shared" si="507"/>
        <v>0</v>
      </c>
      <c r="AK3298" s="2">
        <f t="shared" si="511"/>
        <v>0</v>
      </c>
      <c r="AL3298" s="5" t="e">
        <f t="shared" si="512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510"/>
        <v>1</v>
      </c>
      <c r="Z3299" s="2" t="s">
        <v>119</v>
      </c>
      <c r="AA3299" s="2" t="s">
        <v>3379</v>
      </c>
      <c r="AF3299" s="2">
        <f t="shared" si="506"/>
        <v>0</v>
      </c>
      <c r="AJ3299" s="2">
        <f t="shared" si="507"/>
        <v>0</v>
      </c>
      <c r="AK3299" s="2">
        <f t="shared" si="511"/>
        <v>200.03</v>
      </c>
      <c r="AL3299" s="5">
        <f t="shared" si="512"/>
        <v>1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510"/>
        <v>1</v>
      </c>
      <c r="Z3300" s="2" t="s">
        <v>117</v>
      </c>
      <c r="AA3300" s="2" t="s">
        <v>118</v>
      </c>
      <c r="AB3300" s="2" t="s">
        <v>119</v>
      </c>
      <c r="AF3300" s="2">
        <f t="shared" si="506"/>
        <v>0</v>
      </c>
      <c r="AJ3300" s="2">
        <f t="shared" si="507"/>
        <v>0</v>
      </c>
      <c r="AK3300" s="2">
        <f t="shared" si="511"/>
        <v>352.08</v>
      </c>
      <c r="AL3300" s="5">
        <f t="shared" si="512"/>
        <v>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510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06"/>
        <v>0</v>
      </c>
      <c r="AG3301" s="2">
        <v>5.35</v>
      </c>
      <c r="AJ3301" s="2">
        <f t="shared" si="507"/>
        <v>0</v>
      </c>
      <c r="AK3301" s="2">
        <f t="shared" si="511"/>
        <v>5.9</v>
      </c>
      <c r="AL3301" s="5">
        <f t="shared" si="512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510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06"/>
        <v>0</v>
      </c>
      <c r="AG3302" s="2">
        <v>28.372499999999999</v>
      </c>
      <c r="AJ3302" s="2">
        <f t="shared" si="507"/>
        <v>0</v>
      </c>
      <c r="AK3302" s="2">
        <f t="shared" si="511"/>
        <v>97.149999999999991</v>
      </c>
      <c r="AL3302" s="5">
        <f t="shared" si="512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510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06"/>
        <v>0</v>
      </c>
      <c r="AG3303" s="2">
        <v>3.5</v>
      </c>
      <c r="AJ3303" s="2">
        <f t="shared" si="507"/>
        <v>0</v>
      </c>
      <c r="AK3303" s="2">
        <f t="shared" si="511"/>
        <v>26.560000000000002</v>
      </c>
      <c r="AL3303" s="5">
        <f t="shared" si="512"/>
        <v>0.65483234714003946</v>
      </c>
    </row>
    <row r="3304" spans="1:38" x14ac:dyDescent="0.2">
      <c r="A3304" s="2">
        <v>2026</v>
      </c>
      <c r="B3304" s="2">
        <v>3</v>
      </c>
      <c r="C3304" s="2" t="s">
        <v>3506</v>
      </c>
      <c r="D3304" s="2" t="s">
        <v>2049</v>
      </c>
      <c r="E3304" s="2" t="s">
        <v>108</v>
      </c>
      <c r="F3304" s="2" t="s">
        <v>39</v>
      </c>
      <c r="G3304" s="2">
        <v>514960337</v>
      </c>
      <c r="H3304" s="2" t="s">
        <v>290</v>
      </c>
      <c r="I3304" s="2" t="s">
        <v>2779</v>
      </c>
      <c r="J3304" s="2" t="s">
        <v>2820</v>
      </c>
      <c r="K3304" s="2">
        <v>914732950</v>
      </c>
      <c r="L3304" s="2" t="s">
        <v>480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36.2258*S3304</f>
        <v>72.451599999999999</v>
      </c>
      <c r="X3304" s="5">
        <f t="shared" si="510"/>
        <v>0.53905331467107775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506"/>
        <v>0</v>
      </c>
      <c r="AG3304" s="2">
        <v>35.931699999999999</v>
      </c>
      <c r="AJ3304" s="2">
        <f t="shared" si="507"/>
        <v>0</v>
      </c>
      <c r="AK3304" s="2">
        <f t="shared" si="511"/>
        <v>84.728400000000008</v>
      </c>
      <c r="AL3304" s="5">
        <f t="shared" si="512"/>
        <v>0.53905331467107775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510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506"/>
        <v>0</v>
      </c>
      <c r="AG3305" s="2">
        <f>14.4+0.27</f>
        <v>14.67</v>
      </c>
      <c r="AJ3305" s="2">
        <f t="shared" si="507"/>
        <v>0</v>
      </c>
      <c r="AK3305" s="2">
        <f t="shared" si="511"/>
        <v>16.649999999999999</v>
      </c>
      <c r="AL3305" s="5">
        <f t="shared" si="512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510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506"/>
        <v>0</v>
      </c>
      <c r="AG3306" s="2">
        <v>342.22</v>
      </c>
      <c r="AJ3306" s="2">
        <f t="shared" si="507"/>
        <v>0</v>
      </c>
      <c r="AK3306" s="2">
        <f t="shared" si="511"/>
        <v>354.09659999999997</v>
      </c>
      <c r="AL3306" s="5">
        <f t="shared" si="512"/>
        <v>0.50635864435864431</v>
      </c>
    </row>
    <row r="3307" spans="1:38" x14ac:dyDescent="0.2">
      <c r="A3307" s="2">
        <v>2026</v>
      </c>
      <c r="B3307" s="2">
        <v>3</v>
      </c>
      <c r="C3307" s="2" t="s">
        <v>3319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510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506"/>
        <v>0</v>
      </c>
      <c r="AG3307" s="2">
        <f>597.47+8.18</f>
        <v>605.65</v>
      </c>
      <c r="AJ3307" s="2">
        <f t="shared" si="507"/>
        <v>0</v>
      </c>
      <c r="AK3307" s="2">
        <f t="shared" si="511"/>
        <v>637.11659999999983</v>
      </c>
      <c r="AL3307" s="5">
        <f t="shared" si="512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510"/>
        <v>0.6267094017094017</v>
      </c>
      <c r="Z3308" s="2" t="s">
        <v>3226</v>
      </c>
      <c r="AA3308" s="2" t="s">
        <v>46</v>
      </c>
      <c r="AB3308" s="2" t="s">
        <v>47</v>
      </c>
      <c r="AC3308" s="2" t="s">
        <v>57</v>
      </c>
      <c r="AF3308" s="2">
        <f t="shared" si="506"/>
        <v>0</v>
      </c>
      <c r="AJ3308" s="2">
        <f t="shared" si="507"/>
        <v>0</v>
      </c>
      <c r="AK3308" s="2">
        <f t="shared" si="511"/>
        <v>29.33</v>
      </c>
      <c r="AL3308" s="5">
        <f t="shared" si="512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510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506"/>
        <v>0</v>
      </c>
      <c r="AG3309" s="2">
        <v>8.77</v>
      </c>
      <c r="AJ3309" s="2">
        <f t="shared" si="507"/>
        <v>0</v>
      </c>
      <c r="AK3309" s="2">
        <f t="shared" si="511"/>
        <v>9.64</v>
      </c>
      <c r="AL3309" s="5">
        <f t="shared" si="512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510"/>
        <v>1</v>
      </c>
      <c r="Z3310" s="2" t="s">
        <v>117</v>
      </c>
      <c r="AF3310" s="2">
        <f t="shared" si="506"/>
        <v>0</v>
      </c>
      <c r="AJ3310" s="2">
        <f t="shared" si="507"/>
        <v>0</v>
      </c>
      <c r="AK3310" s="2">
        <f t="shared" si="511"/>
        <v>79.819999999999993</v>
      </c>
      <c r="AL3310" s="5">
        <f t="shared" si="512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0"/>
        <v>1</v>
      </c>
      <c r="Z3311" s="2" t="s">
        <v>117</v>
      </c>
      <c r="AF3311" s="2">
        <f t="shared" si="506"/>
        <v>0</v>
      </c>
      <c r="AJ3311" s="2">
        <f t="shared" si="507"/>
        <v>0</v>
      </c>
      <c r="AK3311" s="2">
        <f t="shared" si="511"/>
        <v>83.46</v>
      </c>
      <c r="AL3311" s="5">
        <f t="shared" si="512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510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506"/>
        <v>0</v>
      </c>
      <c r="AJ3312" s="2">
        <f t="shared" si="507"/>
        <v>0</v>
      </c>
      <c r="AK3312" s="2">
        <f t="shared" si="511"/>
        <v>83.46</v>
      </c>
      <c r="AL3312" s="5">
        <f t="shared" si="512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510"/>
        <v>1</v>
      </c>
      <c r="Z3313" s="2" t="s">
        <v>117</v>
      </c>
      <c r="AF3313" s="2">
        <f t="shared" si="506"/>
        <v>0</v>
      </c>
      <c r="AJ3313" s="2">
        <f t="shared" si="507"/>
        <v>0</v>
      </c>
      <c r="AK3313" s="2">
        <f t="shared" si="511"/>
        <v>689.22</v>
      </c>
      <c r="AL3313" s="5">
        <f t="shared" si="512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510"/>
        <v>1</v>
      </c>
      <c r="Z3314" s="2" t="s">
        <v>117</v>
      </c>
      <c r="AF3314" s="2">
        <f t="shared" si="506"/>
        <v>0</v>
      </c>
      <c r="AJ3314" s="2">
        <f t="shared" si="507"/>
        <v>0</v>
      </c>
      <c r="AK3314" s="2">
        <f t="shared" si="511"/>
        <v>699.3</v>
      </c>
      <c r="AL3314" s="5">
        <f t="shared" si="512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510"/>
        <v>1</v>
      </c>
      <c r="Z3315" s="2" t="s">
        <v>117</v>
      </c>
      <c r="AF3315" s="2">
        <f t="shared" si="506"/>
        <v>0</v>
      </c>
      <c r="AJ3315" s="2">
        <f t="shared" si="507"/>
        <v>0</v>
      </c>
      <c r="AK3315" s="2">
        <f t="shared" si="511"/>
        <v>698.4</v>
      </c>
      <c r="AL3315" s="5">
        <f t="shared" si="512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510"/>
        <v>1</v>
      </c>
      <c r="Z3316" s="2" t="s">
        <v>117</v>
      </c>
      <c r="AF3316" s="2">
        <f t="shared" si="506"/>
        <v>0</v>
      </c>
      <c r="AJ3316" s="2">
        <f t="shared" si="507"/>
        <v>0</v>
      </c>
      <c r="AK3316" s="2">
        <f t="shared" si="511"/>
        <v>136.22999999999999</v>
      </c>
      <c r="AL3316" s="5">
        <f t="shared" si="512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18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06"/>
        <v>0</v>
      </c>
      <c r="AG3317" s="2">
        <v>7437.5950000000003</v>
      </c>
      <c r="AJ3317" s="2">
        <f t="shared" si="507"/>
        <v>0</v>
      </c>
      <c r="AK3317" s="2">
        <f t="shared" si="511"/>
        <v>-15567.674999999999</v>
      </c>
      <c r="AL3317" s="18">
        <f t="shared" ref="AL3317" si="513"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3420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06"/>
        <v>0</v>
      </c>
      <c r="AG3318" s="2">
        <v>7437.5950000000003</v>
      </c>
      <c r="AJ3318" s="2">
        <f t="shared" si="507"/>
        <v>0</v>
      </c>
      <c r="AK3318" s="2">
        <f t="shared" ref="AK3318:AK3349" si="514">T3318-W3318</f>
        <v>4862.0050000000001</v>
      </c>
      <c r="AL3318" s="5">
        <f t="shared" ref="AL3318:AL3328" si="515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3420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506"/>
        <v>0</v>
      </c>
      <c r="AJ3319" s="2">
        <f t="shared" si="507"/>
        <v>0</v>
      </c>
      <c r="AK3319" s="2">
        <f t="shared" si="514"/>
        <v>4320.6000000000004</v>
      </c>
      <c r="AL3319" s="5">
        <f t="shared" si="515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3226</v>
      </c>
      <c r="AA3320" s="2" t="s">
        <v>71</v>
      </c>
      <c r="AB3320" s="2" t="s">
        <v>119</v>
      </c>
      <c r="AC3320" s="2" t="s">
        <v>2636</v>
      </c>
      <c r="AF3320" s="2">
        <f t="shared" si="506"/>
        <v>0</v>
      </c>
      <c r="AG3320" s="2">
        <v>299</v>
      </c>
      <c r="AJ3320" s="2">
        <f t="shared" si="507"/>
        <v>0</v>
      </c>
      <c r="AK3320" s="2">
        <f t="shared" si="514"/>
        <v>70</v>
      </c>
      <c r="AL3320" s="5">
        <f t="shared" si="515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3226</v>
      </c>
      <c r="AA3321" s="2" t="s">
        <v>71</v>
      </c>
      <c r="AB3321" s="2" t="s">
        <v>119</v>
      </c>
      <c r="AC3321" s="2" t="s">
        <v>119</v>
      </c>
      <c r="AF3321" s="2">
        <f t="shared" si="506"/>
        <v>0</v>
      </c>
      <c r="AG3321" s="2">
        <v>14.34</v>
      </c>
      <c r="AJ3321" s="2">
        <f t="shared" si="507"/>
        <v>0</v>
      </c>
      <c r="AK3321" s="2">
        <f t="shared" si="514"/>
        <v>9.5599999999999987</v>
      </c>
      <c r="AL3321" s="5">
        <f t="shared" si="515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06"/>
        <v>0</v>
      </c>
      <c r="AJ3322" s="2">
        <f t="shared" si="507"/>
        <v>0</v>
      </c>
      <c r="AK3322" s="2">
        <f t="shared" si="514"/>
        <v>1610</v>
      </c>
      <c r="AL3322" s="5">
        <f t="shared" si="515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506"/>
        <v>0</v>
      </c>
      <c r="AJ3323" s="2">
        <f t="shared" si="507"/>
        <v>0</v>
      </c>
      <c r="AK3323" s="2">
        <f t="shared" si="514"/>
        <v>0</v>
      </c>
      <c r="AL3323" s="5" t="e">
        <f t="shared" si="515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506"/>
        <v>0</v>
      </c>
      <c r="AG3324" s="2">
        <v>1458</v>
      </c>
      <c r="AJ3324" s="2">
        <f t="shared" si="507"/>
        <v>0</v>
      </c>
      <c r="AK3324" s="2">
        <f t="shared" si="514"/>
        <v>532</v>
      </c>
      <c r="AL3324" s="5">
        <f t="shared" si="515"/>
        <v>0.26733668341708544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06"/>
        <v>0</v>
      </c>
      <c r="AJ3325" s="2">
        <f t="shared" si="507"/>
        <v>0</v>
      </c>
      <c r="AK3325" s="2">
        <f t="shared" si="514"/>
        <v>0</v>
      </c>
      <c r="AL3325" s="5" t="e">
        <f t="shared" si="515"/>
        <v>#DIV/0!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06"/>
        <v>0</v>
      </c>
      <c r="AG3326" s="2">
        <v>10257</v>
      </c>
      <c r="AJ3326" s="2">
        <f t="shared" si="507"/>
        <v>0</v>
      </c>
      <c r="AK3326" s="2">
        <f t="shared" si="514"/>
        <v>2243</v>
      </c>
      <c r="AL3326" s="5">
        <f t="shared" si="515"/>
        <v>0.17943999999999999</v>
      </c>
    </row>
    <row r="3327" spans="1:38" x14ac:dyDescent="0.2">
      <c r="A3327" s="2">
        <v>2026</v>
      </c>
      <c r="B3327" s="2">
        <v>3</v>
      </c>
      <c r="D3327" s="2" t="s">
        <v>3257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3256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06"/>
        <v>0</v>
      </c>
      <c r="AJ3327" s="2">
        <f t="shared" si="507"/>
        <v>0</v>
      </c>
      <c r="AK3327" s="2">
        <f t="shared" si="514"/>
        <v>0</v>
      </c>
      <c r="AL3327" s="5" t="e">
        <f t="shared" si="515"/>
        <v>#DIV/0!</v>
      </c>
    </row>
    <row r="3328" spans="1:38" x14ac:dyDescent="0.2">
      <c r="A3328" s="2">
        <v>2026</v>
      </c>
      <c r="B3328" s="2">
        <v>3</v>
      </c>
      <c r="C3328" s="2" t="s">
        <v>3420</v>
      </c>
      <c r="D3328" s="2" t="s">
        <v>3417</v>
      </c>
      <c r="E3328" s="2" t="s">
        <v>3418</v>
      </c>
      <c r="F3328" s="2" t="s">
        <v>3419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506"/>
        <v>0</v>
      </c>
      <c r="AG3328" s="2">
        <v>1389</v>
      </c>
      <c r="AJ3328" s="2">
        <f t="shared" si="507"/>
        <v>0</v>
      </c>
      <c r="AK3328" s="2">
        <f t="shared" si="514"/>
        <v>111</v>
      </c>
      <c r="AL3328" s="5">
        <f t="shared" si="515"/>
        <v>7.3999999999999996E-2</v>
      </c>
    </row>
    <row r="3329" spans="1:38" x14ac:dyDescent="0.2">
      <c r="A3329" s="2">
        <v>2026</v>
      </c>
      <c r="B3329" s="2">
        <v>3</v>
      </c>
      <c r="C3329" s="2" t="s">
        <v>3420</v>
      </c>
      <c r="D3329" s="2" t="s">
        <v>3417</v>
      </c>
      <c r="E3329" s="2" t="s">
        <v>3418</v>
      </c>
      <c r="F3329" s="2" t="s">
        <v>3419</v>
      </c>
      <c r="L3329" s="2" t="s">
        <v>293</v>
      </c>
      <c r="M3329" s="2" t="s">
        <v>40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3380</v>
      </c>
      <c r="AC3329" s="2" t="s">
        <v>1327</v>
      </c>
      <c r="AF3329" s="2">
        <f t="shared" si="506"/>
        <v>0</v>
      </c>
      <c r="AJ3329" s="2">
        <f t="shared" si="507"/>
        <v>0</v>
      </c>
      <c r="AK3329" s="2">
        <f t="shared" si="514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3420</v>
      </c>
      <c r="D3330" s="2" t="s">
        <v>3417</v>
      </c>
      <c r="E3330" s="2" t="s">
        <v>3418</v>
      </c>
      <c r="F3330" s="2" t="s">
        <v>3419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516">AJ3330</f>
        <v>0</v>
      </c>
      <c r="AG3330" s="2">
        <v>2189</v>
      </c>
      <c r="AJ3330" s="2">
        <f t="shared" ref="AJ3330:AJ3393" si="517">AI3330*T3330</f>
        <v>0</v>
      </c>
      <c r="AK3330" s="2">
        <f t="shared" si="514"/>
        <v>800</v>
      </c>
      <c r="AL3330" s="5">
        <f t="shared" ref="AL3330:AL3336" si="518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16"/>
        <v>0</v>
      </c>
      <c r="AG3331" s="2">
        <v>1195</v>
      </c>
      <c r="AJ3331" s="2">
        <f t="shared" si="517"/>
        <v>0</v>
      </c>
      <c r="AK3331" s="2">
        <f t="shared" si="514"/>
        <v>705</v>
      </c>
      <c r="AL3331" s="5">
        <f t="shared" si="518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16"/>
        <v>0</v>
      </c>
      <c r="AG3332" s="2">
        <v>1195</v>
      </c>
      <c r="AJ3332" s="2">
        <f t="shared" si="517"/>
        <v>0</v>
      </c>
      <c r="AK3332" s="2">
        <f t="shared" si="514"/>
        <v>695</v>
      </c>
      <c r="AL3332" s="5">
        <f t="shared" si="518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16"/>
        <v>0</v>
      </c>
      <c r="AG3333" s="2">
        <v>1195</v>
      </c>
      <c r="AJ3333" s="2">
        <f t="shared" si="517"/>
        <v>0</v>
      </c>
      <c r="AK3333" s="2">
        <f t="shared" si="514"/>
        <v>705</v>
      </c>
      <c r="AL3333" s="5">
        <f t="shared" si="518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16"/>
        <v>0</v>
      </c>
      <c r="AG3334" s="2">
        <v>1195</v>
      </c>
      <c r="AJ3334" s="2">
        <f t="shared" si="517"/>
        <v>0</v>
      </c>
      <c r="AK3334" s="2">
        <f t="shared" si="514"/>
        <v>705</v>
      </c>
      <c r="AL3334" s="5">
        <f t="shared" si="518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16"/>
        <v>0</v>
      </c>
      <c r="AG3335" s="2">
        <v>0</v>
      </c>
      <c r="AH3335" s="2">
        <v>0</v>
      </c>
      <c r="AJ3335" s="2">
        <f t="shared" si="517"/>
        <v>0</v>
      </c>
      <c r="AK3335" s="2">
        <f t="shared" si="514"/>
        <v>0</v>
      </c>
      <c r="AL3335" s="5" t="e">
        <f t="shared" si="518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16"/>
        <v>0</v>
      </c>
      <c r="AG3336" s="2">
        <v>0</v>
      </c>
      <c r="AH3336" s="2">
        <v>0</v>
      </c>
      <c r="AJ3336" s="2">
        <f t="shared" si="517"/>
        <v>0</v>
      </c>
      <c r="AK3336" s="2">
        <f t="shared" si="514"/>
        <v>0</v>
      </c>
      <c r="AL3336" s="5" t="e">
        <f t="shared" si="518"/>
        <v>#DIV/0!</v>
      </c>
    </row>
    <row r="3337" spans="1:38" x14ac:dyDescent="0.2">
      <c r="A3337" s="2">
        <v>2026</v>
      </c>
      <c r="B3337" s="2">
        <v>3</v>
      </c>
      <c r="C3337" s="2" t="s">
        <v>3420</v>
      </c>
      <c r="D3337" s="2" t="s">
        <v>3417</v>
      </c>
      <c r="E3337" s="2" t="s">
        <v>3418</v>
      </c>
      <c r="F3337" s="2" t="s">
        <v>3419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16"/>
        <v>0</v>
      </c>
      <c r="AG3337" s="2">
        <v>0</v>
      </c>
      <c r="AH3337" s="2">
        <v>0</v>
      </c>
      <c r="AJ3337" s="2">
        <f t="shared" si="517"/>
        <v>0</v>
      </c>
      <c r="AK3337" s="2">
        <f t="shared" si="514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16"/>
        <v>0</v>
      </c>
      <c r="AG3338" s="2">
        <v>0</v>
      </c>
      <c r="AH3338" s="2">
        <v>0</v>
      </c>
      <c r="AJ3338" s="2">
        <f t="shared" si="517"/>
        <v>0</v>
      </c>
      <c r="AK3338" s="2">
        <f t="shared" si="514"/>
        <v>0</v>
      </c>
      <c r="AL3338" s="5" t="e">
        <f t="shared" ref="AL3338:AL3364" si="519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16"/>
        <v>0</v>
      </c>
      <c r="AG3339" s="2">
        <v>0</v>
      </c>
      <c r="AH3339" s="2">
        <v>0</v>
      </c>
      <c r="AJ3339" s="2">
        <f t="shared" si="517"/>
        <v>0</v>
      </c>
      <c r="AK3339" s="2">
        <f t="shared" si="514"/>
        <v>0</v>
      </c>
      <c r="AL3339" s="5" t="e">
        <f t="shared" si="519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16"/>
        <v>0</v>
      </c>
      <c r="AG3340" s="2">
        <v>0</v>
      </c>
      <c r="AH3340" s="2">
        <v>0</v>
      </c>
      <c r="AJ3340" s="2">
        <f t="shared" si="517"/>
        <v>0</v>
      </c>
      <c r="AK3340" s="2">
        <f t="shared" si="514"/>
        <v>0</v>
      </c>
      <c r="AL3340" s="5" t="e">
        <f t="shared" si="519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16"/>
        <v>0</v>
      </c>
      <c r="AG3341" s="2">
        <v>0</v>
      </c>
      <c r="AH3341" s="2">
        <v>0</v>
      </c>
      <c r="AJ3341" s="2">
        <f t="shared" si="517"/>
        <v>0</v>
      </c>
      <c r="AK3341" s="2">
        <f t="shared" si="514"/>
        <v>0</v>
      </c>
      <c r="AL3341" s="5" t="e">
        <f t="shared" si="519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16"/>
        <v>0</v>
      </c>
      <c r="AG3342" s="2">
        <v>0</v>
      </c>
      <c r="AH3342" s="2">
        <v>0</v>
      </c>
      <c r="AJ3342" s="2">
        <f t="shared" si="517"/>
        <v>0</v>
      </c>
      <c r="AK3342" s="2">
        <f t="shared" si="514"/>
        <v>0</v>
      </c>
      <c r="AL3342" s="5" t="e">
        <f t="shared" si="519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516"/>
        <v>0</v>
      </c>
      <c r="AG3343" s="2">
        <v>0</v>
      </c>
      <c r="AH3343" s="2">
        <v>0</v>
      </c>
      <c r="AJ3343" s="2">
        <f t="shared" si="517"/>
        <v>0</v>
      </c>
      <c r="AK3343" s="2">
        <f t="shared" si="514"/>
        <v>0</v>
      </c>
      <c r="AL3343" s="5" t="e">
        <f t="shared" si="519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520">(T3344-W3344)/T3344</f>
        <v>0.46364312267657992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16"/>
        <v>0</v>
      </c>
      <c r="AJ3344" s="2">
        <f t="shared" si="517"/>
        <v>0</v>
      </c>
      <c r="AK3344" s="2">
        <f t="shared" si="514"/>
        <v>124.72</v>
      </c>
      <c r="AL3344" s="5">
        <f t="shared" si="519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520"/>
        <v>0.25579710144927542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16"/>
        <v>0</v>
      </c>
      <c r="AG3345" s="2">
        <v>2.4323999999999999</v>
      </c>
      <c r="AH3345" s="2">
        <v>7.9</v>
      </c>
      <c r="AJ3345" s="2">
        <f t="shared" si="517"/>
        <v>0</v>
      </c>
      <c r="AK3345" s="2">
        <f t="shared" si="514"/>
        <v>52.950000000000017</v>
      </c>
      <c r="AL3345" s="5">
        <f t="shared" si="519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520"/>
        <v>0.35000000000000003</v>
      </c>
      <c r="Z3346" s="2" t="s">
        <v>3226</v>
      </c>
      <c r="AA3346" s="2" t="s">
        <v>71</v>
      </c>
      <c r="AB3346" s="2" t="s">
        <v>119</v>
      </c>
      <c r="AC3346" s="2" t="s">
        <v>119</v>
      </c>
      <c r="AF3346" s="2">
        <f t="shared" si="516"/>
        <v>0</v>
      </c>
      <c r="AG3346" s="2">
        <v>2.4323999999999999</v>
      </c>
      <c r="AH3346" s="2">
        <v>7.9</v>
      </c>
      <c r="AJ3346" s="2">
        <f t="shared" si="517"/>
        <v>0</v>
      </c>
      <c r="AK3346" s="2">
        <f t="shared" si="514"/>
        <v>5.5300000000000011</v>
      </c>
      <c r="AL3346" s="5">
        <f t="shared" si="519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520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16"/>
        <v>0</v>
      </c>
      <c r="AG3347" s="2">
        <v>297</v>
      </c>
      <c r="AH3347" s="2">
        <v>595</v>
      </c>
      <c r="AJ3347" s="2">
        <f t="shared" si="517"/>
        <v>0</v>
      </c>
      <c r="AK3347" s="2">
        <f t="shared" si="514"/>
        <v>198</v>
      </c>
      <c r="AL3347" s="5">
        <f t="shared" si="519"/>
        <v>0.4</v>
      </c>
    </row>
    <row r="3348" spans="1:38" x14ac:dyDescent="0.2">
      <c r="A3348" s="2">
        <v>2026</v>
      </c>
      <c r="B3348" s="2">
        <v>3</v>
      </c>
      <c r="D3348" s="2" t="s">
        <v>3257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3256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520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516"/>
        <v>0</v>
      </c>
      <c r="AG3348" s="2">
        <v>1239</v>
      </c>
      <c r="AH3348" s="2">
        <v>2950</v>
      </c>
      <c r="AJ3348" s="2">
        <f t="shared" si="517"/>
        <v>0</v>
      </c>
      <c r="AK3348" s="2">
        <f t="shared" si="514"/>
        <v>261</v>
      </c>
      <c r="AL3348" s="5">
        <f t="shared" si="519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521">14.5099*S3349</f>
        <v>145.09899999999999</v>
      </c>
      <c r="X3349" s="5">
        <f t="shared" si="520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3331</v>
      </c>
      <c r="AF3349" s="2">
        <f t="shared" si="516"/>
        <v>0</v>
      </c>
      <c r="AJ3349" s="2">
        <f t="shared" si="517"/>
        <v>0</v>
      </c>
      <c r="AK3349" s="2">
        <f t="shared" si="514"/>
        <v>54.90100000000001</v>
      </c>
      <c r="AL3349" s="5">
        <f t="shared" si="519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1"/>
        <v>145.09899999999999</v>
      </c>
      <c r="X3350" s="5">
        <f t="shared" si="520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3331</v>
      </c>
      <c r="AF3350" s="2">
        <f t="shared" si="516"/>
        <v>0</v>
      </c>
      <c r="AJ3350" s="2">
        <f t="shared" si="517"/>
        <v>0</v>
      </c>
      <c r="AK3350" s="2">
        <f t="shared" ref="AK3350:AK3381" si="522">T3350-W3350</f>
        <v>54.90100000000001</v>
      </c>
      <c r="AL3350" s="5">
        <f t="shared" si="519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521"/>
        <v>145.09899999999999</v>
      </c>
      <c r="X3351" s="5">
        <f t="shared" si="520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3331</v>
      </c>
      <c r="AF3351" s="2">
        <f t="shared" si="516"/>
        <v>0</v>
      </c>
      <c r="AJ3351" s="2">
        <f t="shared" si="517"/>
        <v>0</v>
      </c>
      <c r="AK3351" s="2">
        <f t="shared" si="522"/>
        <v>54.90100000000001</v>
      </c>
      <c r="AL3351" s="5">
        <f t="shared" si="519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521"/>
        <v>290.19799999999998</v>
      </c>
      <c r="X3352" s="5">
        <f t="shared" si="520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3331</v>
      </c>
      <c r="AF3352" s="2">
        <f t="shared" si="516"/>
        <v>0</v>
      </c>
      <c r="AJ3352" s="2">
        <f t="shared" si="517"/>
        <v>0</v>
      </c>
      <c r="AK3352" s="2">
        <f t="shared" si="522"/>
        <v>109.80200000000002</v>
      </c>
      <c r="AL3352" s="5">
        <f t="shared" si="519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1"/>
        <v>145.09899999999999</v>
      </c>
      <c r="X3353" s="5">
        <f t="shared" si="520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3331</v>
      </c>
      <c r="AF3353" s="2">
        <f t="shared" si="516"/>
        <v>0</v>
      </c>
      <c r="AJ3353" s="2">
        <f t="shared" si="517"/>
        <v>0</v>
      </c>
      <c r="AK3353" s="2">
        <f t="shared" si="522"/>
        <v>54.90100000000001</v>
      </c>
      <c r="AL3353" s="5">
        <f t="shared" si="519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1"/>
        <v>145.09899999999999</v>
      </c>
      <c r="X3354" s="5">
        <f t="shared" si="520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3331</v>
      </c>
      <c r="AF3354" s="2">
        <f t="shared" si="516"/>
        <v>0</v>
      </c>
      <c r="AJ3354" s="2">
        <f t="shared" si="517"/>
        <v>0</v>
      </c>
      <c r="AK3354" s="2">
        <f t="shared" si="522"/>
        <v>54.90100000000001</v>
      </c>
      <c r="AL3354" s="5">
        <f t="shared" si="519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521"/>
        <v>145.09899999999999</v>
      </c>
      <c r="X3355" s="5">
        <f t="shared" si="520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3331</v>
      </c>
      <c r="AF3355" s="2">
        <f t="shared" si="516"/>
        <v>0</v>
      </c>
      <c r="AJ3355" s="2">
        <f t="shared" si="517"/>
        <v>0</v>
      </c>
      <c r="AK3355" s="2">
        <f t="shared" si="522"/>
        <v>54.90100000000001</v>
      </c>
      <c r="AL3355" s="5">
        <f t="shared" si="519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521"/>
        <v>290.19799999999998</v>
      </c>
      <c r="X3356" s="5">
        <f t="shared" si="520"/>
        <v>0.27450500000000005</v>
      </c>
      <c r="Z3356" s="2" t="s">
        <v>3226</v>
      </c>
      <c r="AA3356" s="2" t="s">
        <v>46</v>
      </c>
      <c r="AB3356" s="2" t="s">
        <v>60</v>
      </c>
      <c r="AC3356" s="2" t="s">
        <v>3331</v>
      </c>
      <c r="AF3356" s="2">
        <f t="shared" si="516"/>
        <v>0</v>
      </c>
      <c r="AJ3356" s="2">
        <f t="shared" si="517"/>
        <v>0</v>
      </c>
      <c r="AK3356" s="2">
        <f t="shared" si="522"/>
        <v>109.80200000000002</v>
      </c>
      <c r="AL3356" s="5">
        <f t="shared" si="519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520"/>
        <v>0.52380952380952384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16"/>
        <v>0</v>
      </c>
      <c r="AG3357" s="2">
        <v>10</v>
      </c>
      <c r="AH3357" s="2">
        <v>21</v>
      </c>
      <c r="AJ3357" s="2">
        <f t="shared" si="517"/>
        <v>0</v>
      </c>
      <c r="AK3357" s="2">
        <f t="shared" si="522"/>
        <v>11</v>
      </c>
      <c r="AL3357" s="5">
        <f t="shared" si="519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520"/>
        <v>0.49025384615384621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16"/>
        <v>0</v>
      </c>
      <c r="AG3358" s="2">
        <v>6.6266999999999996</v>
      </c>
      <c r="AH3358" s="2">
        <v>12</v>
      </c>
      <c r="AJ3358" s="2">
        <f t="shared" si="517"/>
        <v>0</v>
      </c>
      <c r="AK3358" s="2">
        <f t="shared" si="522"/>
        <v>12.746600000000001</v>
      </c>
      <c r="AL3358" s="5">
        <f t="shared" si="519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520"/>
        <v>0.44777500000000003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16"/>
        <v>0</v>
      </c>
      <c r="AG3359" s="2">
        <v>6.6266999999999996</v>
      </c>
      <c r="AH3359" s="2">
        <v>12</v>
      </c>
      <c r="AJ3359" s="2">
        <f t="shared" si="517"/>
        <v>0</v>
      </c>
      <c r="AK3359" s="2">
        <f t="shared" si="522"/>
        <v>5.3733000000000004</v>
      </c>
      <c r="AL3359" s="5">
        <f t="shared" si="519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0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16"/>
        <v>0</v>
      </c>
      <c r="AG3360" s="2">
        <v>6.6266999999999996</v>
      </c>
      <c r="AH3360" s="2">
        <v>12</v>
      </c>
      <c r="AJ3360" s="2">
        <f t="shared" si="517"/>
        <v>0</v>
      </c>
      <c r="AK3360" s="2">
        <f t="shared" si="522"/>
        <v>6.3733000000000004</v>
      </c>
      <c r="AL3360" s="5">
        <f t="shared" si="519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520"/>
        <v>0.49025384615384621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16"/>
        <v>0</v>
      </c>
      <c r="AG3361" s="2">
        <v>6.6266999999999996</v>
      </c>
      <c r="AH3361" s="2">
        <v>12</v>
      </c>
      <c r="AJ3361" s="2">
        <f t="shared" si="517"/>
        <v>0</v>
      </c>
      <c r="AK3361" s="2">
        <f t="shared" si="522"/>
        <v>6.3733000000000004</v>
      </c>
      <c r="AL3361" s="5">
        <f t="shared" si="519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520"/>
        <v>0.31428571428571428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16"/>
        <v>0</v>
      </c>
      <c r="AG3362" s="2">
        <v>14.4</v>
      </c>
      <c r="AH3362" s="2">
        <v>21</v>
      </c>
      <c r="AJ3362" s="2">
        <f t="shared" si="517"/>
        <v>0</v>
      </c>
      <c r="AK3362" s="2">
        <f t="shared" si="522"/>
        <v>13.2</v>
      </c>
      <c r="AL3362" s="5">
        <f t="shared" si="519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520"/>
        <v>0.44777500000000003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16"/>
        <v>0</v>
      </c>
      <c r="AG3363" s="2">
        <v>6.6266999999999996</v>
      </c>
      <c r="AH3363" s="2">
        <v>12</v>
      </c>
      <c r="AJ3363" s="2">
        <f t="shared" si="517"/>
        <v>0</v>
      </c>
      <c r="AK3363" s="2">
        <f t="shared" si="522"/>
        <v>5.3733000000000004</v>
      </c>
      <c r="AL3363" s="5">
        <f t="shared" si="519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520"/>
        <v>0.3975727272727273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16"/>
        <v>0</v>
      </c>
      <c r="AG3364" s="2">
        <v>6.6266999999999996</v>
      </c>
      <c r="AH3364" s="2">
        <v>12</v>
      </c>
      <c r="AJ3364" s="2">
        <f t="shared" si="517"/>
        <v>0</v>
      </c>
      <c r="AK3364" s="2">
        <f t="shared" si="522"/>
        <v>43.733000000000004</v>
      </c>
      <c r="AL3364" s="5">
        <f t="shared" si="519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16"/>
        <v>0</v>
      </c>
      <c r="AG3365" s="2">
        <v>6.6266999999999996</v>
      </c>
      <c r="AH3365" s="2">
        <v>12</v>
      </c>
      <c r="AJ3365" s="2">
        <f t="shared" si="517"/>
        <v>0</v>
      </c>
      <c r="AK3365" s="2">
        <f t="shared" si="522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523">(T3366-W3366)/T3366</f>
        <v>0.68624999999999992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16"/>
        <v>0</v>
      </c>
      <c r="AG3366" s="2">
        <v>11.76</v>
      </c>
      <c r="AH3366" s="2">
        <v>36</v>
      </c>
      <c r="AJ3366" s="2">
        <f t="shared" si="517"/>
        <v>0</v>
      </c>
      <c r="AK3366" s="2">
        <f t="shared" si="522"/>
        <v>24.704999999999998</v>
      </c>
      <c r="AL3366" s="5">
        <f t="shared" ref="AL3366:AL3373" si="524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523"/>
        <v>0.31428571428571428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16"/>
        <v>0</v>
      </c>
      <c r="AG3367" s="2">
        <v>14.4</v>
      </c>
      <c r="AH3367" s="2">
        <v>21</v>
      </c>
      <c r="AJ3367" s="2">
        <f t="shared" si="517"/>
        <v>0</v>
      </c>
      <c r="AK3367" s="2">
        <f t="shared" si="522"/>
        <v>6.6</v>
      </c>
      <c r="AL3367" s="5">
        <f t="shared" si="524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3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16"/>
        <v>0</v>
      </c>
      <c r="AG3368" s="2">
        <v>3.7357999999999998</v>
      </c>
      <c r="AH3368" s="2">
        <v>9</v>
      </c>
      <c r="AJ3368" s="2">
        <f t="shared" si="517"/>
        <v>0</v>
      </c>
      <c r="AK3368" s="2">
        <f t="shared" si="522"/>
        <v>5.2642000000000007</v>
      </c>
      <c r="AL3368" s="5">
        <f t="shared" si="524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523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16"/>
        <v>0</v>
      </c>
      <c r="AG3369" s="2">
        <v>3.7357999999999998</v>
      </c>
      <c r="AH3369" s="2">
        <v>9</v>
      </c>
      <c r="AJ3369" s="2">
        <f t="shared" si="517"/>
        <v>0</v>
      </c>
      <c r="AK3369" s="2">
        <f t="shared" si="522"/>
        <v>5.2642000000000007</v>
      </c>
      <c r="AL3369" s="5">
        <f t="shared" si="524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3175</v>
      </c>
      <c r="K3370" s="2">
        <v>911577458</v>
      </c>
      <c r="L3370" s="2" t="s">
        <v>177</v>
      </c>
      <c r="M3370" s="2" t="s">
        <v>41</v>
      </c>
      <c r="O3370" s="2" t="s">
        <v>3179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523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16"/>
        <v>0</v>
      </c>
      <c r="AG3370" s="2">
        <v>3.7357999999999998</v>
      </c>
      <c r="AH3370" s="2">
        <v>9</v>
      </c>
      <c r="AJ3370" s="2">
        <f t="shared" si="517"/>
        <v>0</v>
      </c>
      <c r="AK3370" s="2">
        <f t="shared" si="522"/>
        <v>10.528400000000001</v>
      </c>
      <c r="AL3370" s="5">
        <f t="shared" si="524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523"/>
        <v>0.58491111111111116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16"/>
        <v>0</v>
      </c>
      <c r="AG3371" s="2">
        <v>3.7357999999999998</v>
      </c>
      <c r="AH3371" s="2">
        <v>9</v>
      </c>
      <c r="AJ3371" s="2">
        <f t="shared" si="517"/>
        <v>0</v>
      </c>
      <c r="AK3371" s="2">
        <f t="shared" si="522"/>
        <v>5.2642000000000007</v>
      </c>
      <c r="AL3371" s="5">
        <f t="shared" si="524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3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16"/>
        <v>0</v>
      </c>
      <c r="AG3372" s="2">
        <v>5.2972999999999999</v>
      </c>
      <c r="AH3372" s="2">
        <v>10.8</v>
      </c>
      <c r="AJ3372" s="2">
        <f t="shared" si="517"/>
        <v>0</v>
      </c>
      <c r="AK3372" s="2">
        <f t="shared" si="522"/>
        <v>5.5027000000000008</v>
      </c>
      <c r="AL3372" s="5">
        <f t="shared" si="524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523"/>
        <v>0.50950925925925927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16"/>
        <v>0</v>
      </c>
      <c r="AG3373" s="2">
        <v>5.2972999999999999</v>
      </c>
      <c r="AH3373" s="2">
        <v>10.8</v>
      </c>
      <c r="AJ3373" s="2">
        <f t="shared" si="517"/>
        <v>0</v>
      </c>
      <c r="AK3373" s="2">
        <f t="shared" si="522"/>
        <v>5.5027000000000008</v>
      </c>
      <c r="AL3373" s="5">
        <f t="shared" si="524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3226</v>
      </c>
      <c r="AA3374" s="2" t="s">
        <v>46</v>
      </c>
      <c r="AB3374" s="2" t="s">
        <v>47</v>
      </c>
      <c r="AC3374" s="2" t="s">
        <v>57</v>
      </c>
      <c r="AF3374" s="2">
        <f t="shared" si="516"/>
        <v>0</v>
      </c>
      <c r="AG3374" s="2">
        <v>5.2972999999999999</v>
      </c>
      <c r="AH3374" s="2">
        <v>10.8</v>
      </c>
      <c r="AJ3374" s="2">
        <f t="shared" si="517"/>
        <v>0</v>
      </c>
      <c r="AK3374" s="2">
        <f t="shared" si="522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525">(T3375-W3375)/T3375</f>
        <v>0.47233333333333333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16"/>
        <v>0</v>
      </c>
      <c r="AJ3375" s="2">
        <f t="shared" si="517"/>
        <v>0</v>
      </c>
      <c r="AK3375" s="2">
        <f t="shared" si="522"/>
        <v>7.085</v>
      </c>
      <c r="AL3375" s="5">
        <f t="shared" ref="AL3375:AL3406" si="526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525"/>
        <v>0.47734374999999996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16"/>
        <v>0</v>
      </c>
      <c r="AJ3376" s="2">
        <f t="shared" si="517"/>
        <v>0</v>
      </c>
      <c r="AK3376" s="2">
        <f t="shared" si="522"/>
        <v>9.1649999999999991</v>
      </c>
      <c r="AL3376" s="5">
        <f t="shared" si="526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525"/>
        <v>0.46177536231884059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16"/>
        <v>0</v>
      </c>
      <c r="AJ3377" s="2">
        <f t="shared" si="517"/>
        <v>0</v>
      </c>
      <c r="AK3377" s="2">
        <f t="shared" si="522"/>
        <v>12.745000000000001</v>
      </c>
      <c r="AL3377" s="5">
        <f t="shared" si="526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527">16*S3378</f>
        <v>32</v>
      </c>
      <c r="X3378" s="5">
        <f t="shared" si="525"/>
        <v>0.34959349593495936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16"/>
        <v>0</v>
      </c>
      <c r="AJ3378" s="2">
        <f t="shared" si="517"/>
        <v>0</v>
      </c>
      <c r="AK3378" s="2">
        <f t="shared" si="522"/>
        <v>17.200000000000003</v>
      </c>
      <c r="AL3378" s="5">
        <f t="shared" si="526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527"/>
        <v>16</v>
      </c>
      <c r="X3379" s="5">
        <f t="shared" si="525"/>
        <v>0.46666666666666667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16"/>
        <v>0</v>
      </c>
      <c r="AJ3379" s="2">
        <f t="shared" si="517"/>
        <v>0</v>
      </c>
      <c r="AK3379" s="2">
        <f t="shared" si="522"/>
        <v>14</v>
      </c>
      <c r="AL3379" s="5">
        <f t="shared" si="526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525"/>
        <v>0.49962121212121208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16"/>
        <v>0</v>
      </c>
      <c r="AJ3380" s="2">
        <f t="shared" si="517"/>
        <v>0</v>
      </c>
      <c r="AK3380" s="2">
        <f t="shared" si="522"/>
        <v>6.5949999999999989</v>
      </c>
      <c r="AL3380" s="5">
        <f t="shared" si="526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25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16"/>
        <v>0</v>
      </c>
      <c r="AG3381" s="2">
        <v>5.9066999999999998</v>
      </c>
      <c r="AH3381" s="2">
        <v>12.6</v>
      </c>
      <c r="AJ3381" s="2">
        <f t="shared" si="517"/>
        <v>0</v>
      </c>
      <c r="AK3381" s="2">
        <f t="shared" si="522"/>
        <v>6.6932999999999998</v>
      </c>
      <c r="AL3381" s="5">
        <f t="shared" si="526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525"/>
        <v>0.53121428571428575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16"/>
        <v>0</v>
      </c>
      <c r="AG3382" s="2">
        <v>5.9066999999999998</v>
      </c>
      <c r="AH3382" s="2">
        <v>12.6</v>
      </c>
      <c r="AJ3382" s="2">
        <f t="shared" si="517"/>
        <v>0</v>
      </c>
      <c r="AK3382" s="2">
        <f t="shared" ref="AK3382:AK3413" si="528">T3382-W3382</f>
        <v>6.6932999999999998</v>
      </c>
      <c r="AL3382" s="5">
        <f t="shared" si="526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525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16"/>
        <v>0</v>
      </c>
      <c r="AG3383" s="2">
        <v>7.2217000000000002</v>
      </c>
      <c r="AH3383" s="2">
        <v>14.4</v>
      </c>
      <c r="AJ3383" s="2">
        <f t="shared" si="517"/>
        <v>0</v>
      </c>
      <c r="AK3383" s="2">
        <f t="shared" si="528"/>
        <v>14.3566</v>
      </c>
      <c r="AL3383" s="5">
        <f t="shared" si="526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525"/>
        <v>0.49849305555555556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16"/>
        <v>0</v>
      </c>
      <c r="AG3384" s="2">
        <v>7.2217000000000002</v>
      </c>
      <c r="AH3384" s="2">
        <v>14.4</v>
      </c>
      <c r="AJ3384" s="2">
        <f t="shared" si="517"/>
        <v>0</v>
      </c>
      <c r="AK3384" s="2">
        <f t="shared" si="528"/>
        <v>7.1783000000000001</v>
      </c>
      <c r="AL3384" s="5">
        <f t="shared" si="526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525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16"/>
        <v>0</v>
      </c>
      <c r="AJ3385" s="2">
        <f t="shared" si="517"/>
        <v>0</v>
      </c>
      <c r="AK3385" s="2">
        <f t="shared" si="528"/>
        <v>8.3249999999999993</v>
      </c>
      <c r="AL3385" s="5">
        <f t="shared" si="526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525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16"/>
        <v>0</v>
      </c>
      <c r="AJ3386" s="2">
        <f t="shared" si="517"/>
        <v>0</v>
      </c>
      <c r="AK3386" s="2">
        <f t="shared" si="528"/>
        <v>16.649999999999999</v>
      </c>
      <c r="AL3386" s="5">
        <f t="shared" si="526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525"/>
        <v>0.47844827586206895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16"/>
        <v>0</v>
      </c>
      <c r="AJ3387" s="2">
        <f t="shared" si="517"/>
        <v>0</v>
      </c>
      <c r="AK3387" s="2">
        <f t="shared" si="528"/>
        <v>8.3249999999999993</v>
      </c>
      <c r="AL3387" s="5">
        <f t="shared" si="526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529">11.045*S3388</f>
        <v>11.045</v>
      </c>
      <c r="X3388" s="5">
        <f t="shared" si="525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16"/>
        <v>0</v>
      </c>
      <c r="AJ3388" s="2">
        <f t="shared" si="517"/>
        <v>0</v>
      </c>
      <c r="AK3388" s="2">
        <f t="shared" si="528"/>
        <v>9.9550000000000001</v>
      </c>
      <c r="AL3388" s="5">
        <f t="shared" si="526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529"/>
        <v>22.09</v>
      </c>
      <c r="X3389" s="5">
        <f t="shared" si="525"/>
        <v>0.47404761904761905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16"/>
        <v>0</v>
      </c>
      <c r="AJ3389" s="2">
        <f t="shared" si="517"/>
        <v>0</v>
      </c>
      <c r="AK3389" s="2">
        <f t="shared" si="528"/>
        <v>19.91</v>
      </c>
      <c r="AL3389" s="5">
        <f t="shared" si="526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530">13.4067*S3390</f>
        <v>26.813400000000001</v>
      </c>
      <c r="X3390" s="5">
        <f t="shared" si="525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16"/>
        <v>0</v>
      </c>
      <c r="AJ3390" s="2">
        <f t="shared" si="517"/>
        <v>0</v>
      </c>
      <c r="AK3390" s="2">
        <f t="shared" si="528"/>
        <v>23.586599999999997</v>
      </c>
      <c r="AL3390" s="5">
        <f t="shared" si="526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530"/>
        <v>13.406700000000001</v>
      </c>
      <c r="X3391" s="5">
        <f t="shared" si="525"/>
        <v>0.4679880952380952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16"/>
        <v>0</v>
      </c>
      <c r="AJ3391" s="2">
        <f t="shared" si="517"/>
        <v>0</v>
      </c>
      <c r="AK3391" s="2">
        <f t="shared" si="528"/>
        <v>11.793299999999999</v>
      </c>
      <c r="AL3391" s="5">
        <f t="shared" si="526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531">16.2249*S3392</f>
        <v>32.449800000000003</v>
      </c>
      <c r="X3392" s="5">
        <f t="shared" si="525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16"/>
        <v>0</v>
      </c>
      <c r="AJ3392" s="2">
        <f t="shared" si="517"/>
        <v>0</v>
      </c>
      <c r="AK3392" s="2">
        <f t="shared" si="528"/>
        <v>27.550199999999997</v>
      </c>
      <c r="AL3392" s="5">
        <f t="shared" si="526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531"/>
        <v>16.224900000000002</v>
      </c>
      <c r="X3393" s="5">
        <f t="shared" si="525"/>
        <v>0.45916999999999997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si="516"/>
        <v>0</v>
      </c>
      <c r="AJ3393" s="2">
        <f t="shared" si="517"/>
        <v>0</v>
      </c>
      <c r="AK3393" s="2">
        <f t="shared" si="528"/>
        <v>13.775099999999998</v>
      </c>
      <c r="AL3393" s="5">
        <f t="shared" si="526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532">9.2346*S3394</f>
        <v>9.2346000000000004</v>
      </c>
      <c r="X3394" s="5">
        <f t="shared" si="525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ref="AF3394:AF3457" si="533">AJ3394</f>
        <v>0</v>
      </c>
      <c r="AJ3394" s="2">
        <f t="shared" ref="AJ3394:AJ3457" si="534">AI3394*T3394</f>
        <v>0</v>
      </c>
      <c r="AK3394" s="2">
        <f t="shared" si="528"/>
        <v>8.7653999999999996</v>
      </c>
      <c r="AL3394" s="5">
        <f t="shared" si="526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532"/>
        <v>18.469200000000001</v>
      </c>
      <c r="X3395" s="5">
        <f t="shared" si="525"/>
        <v>0.48696666666666666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3"/>
        <v>0</v>
      </c>
      <c r="AJ3395" s="2">
        <f t="shared" si="534"/>
        <v>0</v>
      </c>
      <c r="AK3395" s="2">
        <f t="shared" si="528"/>
        <v>17.530799999999999</v>
      </c>
      <c r="AL3395" s="5">
        <f t="shared" si="526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525"/>
        <v>0.46834848484848485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3"/>
        <v>0</v>
      </c>
      <c r="AJ3396" s="2">
        <f t="shared" si="534"/>
        <v>0</v>
      </c>
      <c r="AK3396" s="2">
        <f t="shared" si="528"/>
        <v>18.546600000000002</v>
      </c>
      <c r="AL3396" s="5">
        <f t="shared" si="526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525"/>
        <v>0.46226315789473682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3"/>
        <v>0</v>
      </c>
      <c r="AJ3397" s="2">
        <f t="shared" si="534"/>
        <v>0</v>
      </c>
      <c r="AK3397" s="2">
        <f t="shared" si="528"/>
        <v>21.0792</v>
      </c>
      <c r="AL3397" s="5">
        <f t="shared" si="526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525"/>
        <v>0.47041666666666665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3"/>
        <v>0</v>
      </c>
      <c r="AJ3398" s="2">
        <f t="shared" si="534"/>
        <v>0</v>
      </c>
      <c r="AK3398" s="2">
        <f t="shared" si="528"/>
        <v>22.58</v>
      </c>
      <c r="AL3398" s="5">
        <f t="shared" si="526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535">10.6*S3399</f>
        <v>106</v>
      </c>
      <c r="X3399" s="5">
        <f t="shared" si="525"/>
        <v>0.26896551724137929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3"/>
        <v>0</v>
      </c>
      <c r="AG3399" s="2">
        <v>10.6</v>
      </c>
      <c r="AH3399" s="2">
        <v>18</v>
      </c>
      <c r="AJ3399" s="2">
        <f t="shared" si="534"/>
        <v>0</v>
      </c>
      <c r="AK3399" s="2">
        <f t="shared" si="528"/>
        <v>39</v>
      </c>
      <c r="AL3399" s="5">
        <f t="shared" si="526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535"/>
        <v>127.19999999999999</v>
      </c>
      <c r="X3400" s="5">
        <f t="shared" si="525"/>
        <v>0.29333333333333339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3"/>
        <v>0</v>
      </c>
      <c r="AG3400" s="2">
        <v>10.6</v>
      </c>
      <c r="AH3400" s="2">
        <v>18</v>
      </c>
      <c r="AJ3400" s="2">
        <f t="shared" si="534"/>
        <v>0</v>
      </c>
      <c r="AK3400" s="2">
        <f t="shared" si="528"/>
        <v>52.800000000000011</v>
      </c>
      <c r="AL3400" s="5">
        <f t="shared" si="526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35"/>
        <v>21.2</v>
      </c>
      <c r="X3401" s="5">
        <f t="shared" si="525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3"/>
        <v>0</v>
      </c>
      <c r="AG3401" s="2">
        <v>10.6</v>
      </c>
      <c r="AH3401" s="2">
        <v>18</v>
      </c>
      <c r="AJ3401" s="2">
        <f t="shared" si="534"/>
        <v>0</v>
      </c>
      <c r="AK3401" s="2">
        <f t="shared" si="528"/>
        <v>14.8</v>
      </c>
      <c r="AL3401" s="5">
        <f t="shared" si="526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535"/>
        <v>21.2</v>
      </c>
      <c r="X3402" s="5">
        <f t="shared" si="525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3"/>
        <v>0</v>
      </c>
      <c r="AG3402" s="2">
        <v>10.6</v>
      </c>
      <c r="AH3402" s="2">
        <v>18</v>
      </c>
      <c r="AJ3402" s="2">
        <f t="shared" si="534"/>
        <v>0</v>
      </c>
      <c r="AK3402" s="2">
        <f t="shared" si="528"/>
        <v>14.8</v>
      </c>
      <c r="AL3402" s="5">
        <f t="shared" si="526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535"/>
        <v>10.6</v>
      </c>
      <c r="X3403" s="5">
        <f t="shared" si="525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3"/>
        <v>0</v>
      </c>
      <c r="AG3403" s="2">
        <v>10.6</v>
      </c>
      <c r="AH3403" s="2">
        <v>18</v>
      </c>
      <c r="AJ3403" s="2">
        <f t="shared" si="534"/>
        <v>0</v>
      </c>
      <c r="AK3403" s="2">
        <f t="shared" si="528"/>
        <v>7.4</v>
      </c>
      <c r="AL3403" s="5">
        <f t="shared" si="526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535"/>
        <v>21.2</v>
      </c>
      <c r="X3404" s="5">
        <f t="shared" si="525"/>
        <v>0.41111111111111115</v>
      </c>
      <c r="Z3404" s="2" t="s">
        <v>3226</v>
      </c>
      <c r="AA3404" s="2" t="s">
        <v>46</v>
      </c>
      <c r="AB3404" s="2" t="s">
        <v>56</v>
      </c>
      <c r="AC3404" s="2" t="s">
        <v>57</v>
      </c>
      <c r="AF3404" s="2">
        <f t="shared" si="533"/>
        <v>0</v>
      </c>
      <c r="AG3404" s="2">
        <v>10.6</v>
      </c>
      <c r="AH3404" s="2">
        <v>18</v>
      </c>
      <c r="AJ3404" s="2">
        <f t="shared" si="534"/>
        <v>0</v>
      </c>
      <c r="AK3404" s="2">
        <f t="shared" si="528"/>
        <v>14.8</v>
      </c>
      <c r="AL3404" s="5">
        <f t="shared" si="526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525"/>
        <v>0.46666666666666662</v>
      </c>
      <c r="Z3405" s="2" t="s">
        <v>3226</v>
      </c>
      <c r="AA3405" s="2" t="s">
        <v>46</v>
      </c>
      <c r="AB3405" s="2" t="s">
        <v>47</v>
      </c>
      <c r="AC3405" s="2" t="s">
        <v>57</v>
      </c>
      <c r="AF3405" s="2">
        <f t="shared" si="533"/>
        <v>0</v>
      </c>
      <c r="AJ3405" s="2">
        <f t="shared" si="534"/>
        <v>0</v>
      </c>
      <c r="AK3405" s="2">
        <f t="shared" si="528"/>
        <v>22.4</v>
      </c>
      <c r="AL3405" s="5">
        <f t="shared" si="526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3216</v>
      </c>
      <c r="J3406" s="2" t="s">
        <v>3215</v>
      </c>
      <c r="K3406" s="2">
        <v>913814877</v>
      </c>
      <c r="L3406" s="2" t="s">
        <v>201</v>
      </c>
      <c r="M3406" s="2" t="s">
        <v>80</v>
      </c>
      <c r="O3406" s="2" t="s">
        <v>3213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536">10.6*S3406</f>
        <v>31.799999999999997</v>
      </c>
      <c r="X3406" s="5">
        <f t="shared" si="525"/>
        <v>0.41111111111111115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3"/>
        <v>0</v>
      </c>
      <c r="AG3406" s="2">
        <v>10.6</v>
      </c>
      <c r="AH3406" s="2">
        <v>18</v>
      </c>
      <c r="AJ3406" s="2">
        <f t="shared" si="534"/>
        <v>0</v>
      </c>
      <c r="AK3406" s="2">
        <f t="shared" si="528"/>
        <v>22.200000000000003</v>
      </c>
      <c r="AL3406" s="5">
        <f t="shared" si="526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536"/>
        <v>42.4</v>
      </c>
      <c r="X3407" s="5">
        <f t="shared" ref="X3407:X3425" si="537">(T3407-W3407)/T3407</f>
        <v>0.33750000000000002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3"/>
        <v>0</v>
      </c>
      <c r="AG3407" s="2">
        <v>10.6</v>
      </c>
      <c r="AH3407" s="2">
        <v>18</v>
      </c>
      <c r="AJ3407" s="2">
        <f t="shared" si="534"/>
        <v>0</v>
      </c>
      <c r="AK3407" s="2">
        <f t="shared" si="528"/>
        <v>21.6</v>
      </c>
      <c r="AL3407" s="5">
        <f t="shared" ref="AL3407:AL3425" si="538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536"/>
        <v>10.6</v>
      </c>
      <c r="X3408" s="5">
        <f t="shared" si="537"/>
        <v>0.41111111111111115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3"/>
        <v>0</v>
      </c>
      <c r="AG3408" s="2">
        <v>10.6</v>
      </c>
      <c r="AH3408" s="2">
        <v>18</v>
      </c>
      <c r="AJ3408" s="2">
        <f t="shared" si="534"/>
        <v>0</v>
      </c>
      <c r="AK3408" s="2">
        <f t="shared" si="528"/>
        <v>7.4</v>
      </c>
      <c r="AL3408" s="5">
        <f t="shared" si="538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536"/>
        <v>106</v>
      </c>
      <c r="X3409" s="5">
        <f t="shared" si="537"/>
        <v>0.29333333333333333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3"/>
        <v>0</v>
      </c>
      <c r="AG3409" s="2">
        <v>10.6</v>
      </c>
      <c r="AH3409" s="2">
        <v>18</v>
      </c>
      <c r="AJ3409" s="2">
        <f t="shared" si="534"/>
        <v>0</v>
      </c>
      <c r="AK3409" s="2">
        <f t="shared" si="528"/>
        <v>44</v>
      </c>
      <c r="AL3409" s="5">
        <f t="shared" si="538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536"/>
        <v>106</v>
      </c>
      <c r="X3410" s="5">
        <f t="shared" si="537"/>
        <v>0.26896551724137929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3"/>
        <v>0</v>
      </c>
      <c r="AG3410" s="2">
        <v>10.6</v>
      </c>
      <c r="AH3410" s="2">
        <v>18</v>
      </c>
      <c r="AJ3410" s="2">
        <f t="shared" si="534"/>
        <v>0</v>
      </c>
      <c r="AK3410" s="2">
        <f t="shared" si="528"/>
        <v>39</v>
      </c>
      <c r="AL3410" s="5">
        <f t="shared" si="538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536"/>
        <v>10.6</v>
      </c>
      <c r="X3411" s="5">
        <f t="shared" si="537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3"/>
        <v>0</v>
      </c>
      <c r="AG3411" s="2">
        <v>10.6</v>
      </c>
      <c r="AH3411" s="2">
        <v>18</v>
      </c>
      <c r="AJ3411" s="2">
        <f t="shared" si="534"/>
        <v>0</v>
      </c>
      <c r="AK3411" s="2">
        <f t="shared" si="528"/>
        <v>7.4</v>
      </c>
      <c r="AL3411" s="5">
        <f t="shared" si="538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536"/>
        <v>21.2</v>
      </c>
      <c r="X3412" s="5">
        <f t="shared" si="537"/>
        <v>0.41111111111111115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3"/>
        <v>0</v>
      </c>
      <c r="AG3412" s="2">
        <v>10.6</v>
      </c>
      <c r="AH3412" s="2">
        <v>18</v>
      </c>
      <c r="AJ3412" s="2">
        <f t="shared" si="534"/>
        <v>0</v>
      </c>
      <c r="AK3412" s="2">
        <f t="shared" si="528"/>
        <v>14.8</v>
      </c>
      <c r="AL3412" s="5">
        <f t="shared" si="538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37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3"/>
        <v>0</v>
      </c>
      <c r="AG3413" s="2">
        <v>29.27</v>
      </c>
      <c r="AH3413" s="2">
        <v>60</v>
      </c>
      <c r="AJ3413" s="2">
        <f t="shared" si="534"/>
        <v>0</v>
      </c>
      <c r="AK3413" s="2">
        <f t="shared" si="528"/>
        <v>30.73</v>
      </c>
      <c r="AL3413" s="5">
        <f t="shared" si="538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537"/>
        <v>0.51216666666666666</v>
      </c>
      <c r="Z3414" s="2" t="s">
        <v>3226</v>
      </c>
      <c r="AA3414" s="2" t="s">
        <v>46</v>
      </c>
      <c r="AB3414" s="2" t="s">
        <v>56</v>
      </c>
      <c r="AC3414" s="2" t="s">
        <v>57</v>
      </c>
      <c r="AF3414" s="2">
        <f t="shared" si="533"/>
        <v>0</v>
      </c>
      <c r="AG3414" s="2">
        <v>29.27</v>
      </c>
      <c r="AH3414" s="2">
        <v>60</v>
      </c>
      <c r="AJ3414" s="2">
        <f t="shared" si="534"/>
        <v>0</v>
      </c>
      <c r="AK3414" s="2">
        <f t="shared" ref="AK3414:AK3445" si="539">T3414-W3414</f>
        <v>30.73</v>
      </c>
      <c r="AL3414" s="5">
        <f t="shared" si="538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537"/>
        <v>0.29692307692307701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3"/>
        <v>0</v>
      </c>
      <c r="AG3415" s="2">
        <v>9.14</v>
      </c>
      <c r="AH3415" s="2">
        <v>16</v>
      </c>
      <c r="AJ3415" s="2">
        <f t="shared" si="534"/>
        <v>0</v>
      </c>
      <c r="AK3415" s="2">
        <f t="shared" si="539"/>
        <v>19.300000000000004</v>
      </c>
      <c r="AL3415" s="5">
        <f t="shared" si="538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537"/>
        <v>0.39066666666666677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3"/>
        <v>0</v>
      </c>
      <c r="AG3416" s="2">
        <v>9.14</v>
      </c>
      <c r="AH3416" s="2">
        <v>16</v>
      </c>
      <c r="AJ3416" s="2">
        <f t="shared" si="534"/>
        <v>0</v>
      </c>
      <c r="AK3416" s="2">
        <f t="shared" si="539"/>
        <v>5.8600000000000012</v>
      </c>
      <c r="AL3416" s="5">
        <f t="shared" si="538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537"/>
        <v>0.26666666666666666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3"/>
        <v>0</v>
      </c>
      <c r="AG3417" s="2">
        <v>8.1999999999999993</v>
      </c>
      <c r="AH3417" s="2">
        <v>13</v>
      </c>
      <c r="AJ3417" s="2">
        <f t="shared" si="534"/>
        <v>0</v>
      </c>
      <c r="AK3417" s="2">
        <f t="shared" si="539"/>
        <v>65.599999999999994</v>
      </c>
      <c r="AL3417" s="5">
        <f t="shared" si="538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37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3"/>
        <v>0</v>
      </c>
      <c r="AG3418" s="2">
        <v>8.1999999999999993</v>
      </c>
      <c r="AH3418" s="2">
        <v>13</v>
      </c>
      <c r="AJ3418" s="2">
        <f t="shared" si="534"/>
        <v>0</v>
      </c>
      <c r="AK3418" s="2">
        <f t="shared" si="539"/>
        <v>4.7999999999999989</v>
      </c>
      <c r="AL3418" s="5">
        <f t="shared" si="538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37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3"/>
        <v>0</v>
      </c>
      <c r="AG3419" s="2">
        <v>8.1999999999999993</v>
      </c>
      <c r="AH3419" s="2">
        <v>13</v>
      </c>
      <c r="AJ3419" s="2">
        <f t="shared" si="534"/>
        <v>0</v>
      </c>
      <c r="AK3419" s="2">
        <f t="shared" si="539"/>
        <v>4.7999999999999989</v>
      </c>
      <c r="AL3419" s="5">
        <f t="shared" si="538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37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3"/>
        <v>0</v>
      </c>
      <c r="AG3420" s="2">
        <v>8.1999999999999993</v>
      </c>
      <c r="AH3420" s="2">
        <v>13</v>
      </c>
      <c r="AJ3420" s="2">
        <f t="shared" si="534"/>
        <v>0</v>
      </c>
      <c r="AK3420" s="2">
        <f t="shared" si="539"/>
        <v>4.7999999999999989</v>
      </c>
      <c r="AL3420" s="5">
        <f t="shared" si="538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537"/>
        <v>0.36923076923076914</v>
      </c>
      <c r="Z3421" s="2" t="s">
        <v>3226</v>
      </c>
      <c r="AA3421" s="2" t="s">
        <v>46</v>
      </c>
      <c r="AB3421" s="2" t="s">
        <v>60</v>
      </c>
      <c r="AC3421" s="2" t="s">
        <v>57</v>
      </c>
      <c r="AF3421" s="2">
        <f t="shared" si="533"/>
        <v>0</v>
      </c>
      <c r="AG3421" s="2">
        <v>8.1999999999999993</v>
      </c>
      <c r="AH3421" s="2">
        <v>13</v>
      </c>
      <c r="AJ3421" s="2">
        <f t="shared" si="534"/>
        <v>0</v>
      </c>
      <c r="AK3421" s="2">
        <f t="shared" si="539"/>
        <v>4.7999999999999989</v>
      </c>
      <c r="AL3421" s="5">
        <f t="shared" si="538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537"/>
        <v>0.53121428571428575</v>
      </c>
      <c r="Z3422" s="2" t="s">
        <v>3226</v>
      </c>
      <c r="AA3422" s="2" t="s">
        <v>46</v>
      </c>
      <c r="AB3422" s="2" t="s">
        <v>56</v>
      </c>
      <c r="AC3422" s="2" t="s">
        <v>57</v>
      </c>
      <c r="AF3422" s="2">
        <f t="shared" si="533"/>
        <v>0</v>
      </c>
      <c r="AG3422" s="2">
        <v>5.9066999999999998</v>
      </c>
      <c r="AH3422" s="2">
        <v>12.6</v>
      </c>
      <c r="AJ3422" s="2">
        <f t="shared" si="534"/>
        <v>0</v>
      </c>
      <c r="AK3422" s="2">
        <f t="shared" si="539"/>
        <v>13.3866</v>
      </c>
      <c r="AL3422" s="5">
        <f t="shared" si="538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537"/>
        <v>0.3166666666666666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3"/>
        <v>0</v>
      </c>
      <c r="AG3423" s="2">
        <v>8.1999999999999993</v>
      </c>
      <c r="AH3423" s="2">
        <v>13</v>
      </c>
      <c r="AJ3423" s="2">
        <f t="shared" si="534"/>
        <v>0</v>
      </c>
      <c r="AK3423" s="2">
        <f t="shared" si="539"/>
        <v>7.5999999999999979</v>
      </c>
      <c r="AL3423" s="5">
        <f t="shared" si="538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537"/>
        <v>0.36923076923076914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3"/>
        <v>0</v>
      </c>
      <c r="AG3424" s="2">
        <v>8.1999999999999993</v>
      </c>
      <c r="AH3424" s="2">
        <v>13</v>
      </c>
      <c r="AJ3424" s="2">
        <f t="shared" si="534"/>
        <v>0</v>
      </c>
      <c r="AK3424" s="2">
        <f t="shared" si="539"/>
        <v>9.5999999999999979</v>
      </c>
      <c r="AL3424" s="5">
        <f t="shared" si="538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537"/>
        <v>0.25454545454545452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3"/>
        <v>0</v>
      </c>
      <c r="AG3425" s="2">
        <v>8.1999999999999993</v>
      </c>
      <c r="AH3425" s="2">
        <v>13</v>
      </c>
      <c r="AJ3425" s="2">
        <f t="shared" si="534"/>
        <v>0</v>
      </c>
      <c r="AK3425" s="2">
        <f t="shared" si="539"/>
        <v>28</v>
      </c>
      <c r="AL3425" s="5">
        <f t="shared" si="538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3"/>
        <v>0</v>
      </c>
      <c r="AG3426" s="2">
        <v>8.1999999999999993</v>
      </c>
      <c r="AH3426" s="2">
        <v>13</v>
      </c>
      <c r="AJ3426" s="2">
        <f t="shared" si="534"/>
        <v>0</v>
      </c>
      <c r="AK3426" s="2">
        <f t="shared" si="539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540">(T3427-W3427)/T3427</f>
        <v>0.21904761904761905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3"/>
        <v>0</v>
      </c>
      <c r="AG3427" s="2">
        <v>8.1999999999999993</v>
      </c>
      <c r="AH3427" s="2">
        <v>13</v>
      </c>
      <c r="AJ3427" s="2">
        <f t="shared" si="534"/>
        <v>0</v>
      </c>
      <c r="AK3427" s="2">
        <f t="shared" si="539"/>
        <v>23</v>
      </c>
      <c r="AL3427" s="5">
        <f t="shared" ref="AL3427:AL3437" si="541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540"/>
        <v>0.39066666666666677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3"/>
        <v>0</v>
      </c>
      <c r="AJ3428" s="2">
        <f t="shared" si="534"/>
        <v>0</v>
      </c>
      <c r="AK3428" s="2">
        <f t="shared" si="539"/>
        <v>5.8600000000000012</v>
      </c>
      <c r="AL3428" s="5">
        <f t="shared" si="541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540"/>
        <v>0.29692307692307701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3"/>
        <v>0</v>
      </c>
      <c r="AJ3429" s="2">
        <f t="shared" si="534"/>
        <v>0</v>
      </c>
      <c r="AK3429" s="2">
        <f t="shared" si="539"/>
        <v>19.300000000000004</v>
      </c>
      <c r="AL3429" s="5">
        <f t="shared" si="541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540"/>
        <v>0.34714285714285725</v>
      </c>
      <c r="Z3430" s="2" t="s">
        <v>3226</v>
      </c>
      <c r="AA3430" s="2" t="s">
        <v>46</v>
      </c>
      <c r="AB3430" s="2" t="s">
        <v>60</v>
      </c>
      <c r="AC3430" s="2" t="s">
        <v>57</v>
      </c>
      <c r="AF3430" s="2">
        <f t="shared" si="533"/>
        <v>0</v>
      </c>
      <c r="AJ3430" s="2">
        <f t="shared" si="534"/>
        <v>0</v>
      </c>
      <c r="AK3430" s="2">
        <f t="shared" si="539"/>
        <v>4.8600000000000012</v>
      </c>
      <c r="AL3430" s="5">
        <f t="shared" si="541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540"/>
        <v>0.67333333333333334</v>
      </c>
      <c r="Z3431" s="2" t="s">
        <v>3226</v>
      </c>
      <c r="AA3431" s="2" t="s">
        <v>46</v>
      </c>
      <c r="AB3431" s="2" t="s">
        <v>90</v>
      </c>
      <c r="AC3431" s="2" t="s">
        <v>57</v>
      </c>
      <c r="AF3431" s="2">
        <f t="shared" si="533"/>
        <v>0</v>
      </c>
      <c r="AJ3431" s="2">
        <f t="shared" si="534"/>
        <v>0</v>
      </c>
      <c r="AK3431" s="2">
        <f t="shared" si="539"/>
        <v>4.04</v>
      </c>
      <c r="AL3431" s="5">
        <f t="shared" si="541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3133</v>
      </c>
      <c r="L3432" s="2" t="s">
        <v>177</v>
      </c>
      <c r="M3432" s="2" t="s">
        <v>41</v>
      </c>
      <c r="O3432" s="2" t="s">
        <v>3141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540"/>
        <v>0.61904761904761907</v>
      </c>
      <c r="Z3432" s="2" t="s">
        <v>3226</v>
      </c>
      <c r="AA3432" s="2" t="s">
        <v>46</v>
      </c>
      <c r="AB3432" s="2" t="s">
        <v>47</v>
      </c>
      <c r="AC3432" s="2" t="s">
        <v>57</v>
      </c>
      <c r="AF3432" s="2">
        <f t="shared" si="533"/>
        <v>0</v>
      </c>
      <c r="AJ3432" s="2">
        <f t="shared" si="534"/>
        <v>0</v>
      </c>
      <c r="AK3432" s="2">
        <f t="shared" si="539"/>
        <v>13</v>
      </c>
      <c r="AL3432" s="5">
        <f t="shared" si="541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540"/>
        <v>0.23666666666666661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3"/>
        <v>0</v>
      </c>
      <c r="AG3433" s="2">
        <v>1.8320000000000001</v>
      </c>
      <c r="AH3433" s="2">
        <v>2.4</v>
      </c>
      <c r="AJ3433" s="2">
        <f t="shared" si="534"/>
        <v>0</v>
      </c>
      <c r="AK3433" s="2">
        <f t="shared" si="539"/>
        <v>1.1359999999999997</v>
      </c>
      <c r="AL3433" s="5">
        <f t="shared" si="541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540"/>
        <v>0.47838888888888892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3"/>
        <v>0</v>
      </c>
      <c r="AG3434" s="2">
        <v>3.7555999999999998</v>
      </c>
      <c r="AH3434" s="2">
        <v>7.2</v>
      </c>
      <c r="AJ3434" s="2">
        <f t="shared" si="534"/>
        <v>0</v>
      </c>
      <c r="AK3434" s="2">
        <f t="shared" si="539"/>
        <v>68.888000000000005</v>
      </c>
      <c r="AL3434" s="5">
        <f t="shared" si="541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540"/>
        <v>0.5243888888888889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3"/>
        <v>0</v>
      </c>
      <c r="AG3435" s="2">
        <v>0.85609999999999997</v>
      </c>
      <c r="AH3435" s="2">
        <v>1.8</v>
      </c>
      <c r="AJ3435" s="2">
        <f t="shared" si="534"/>
        <v>0</v>
      </c>
      <c r="AK3435" s="2">
        <f t="shared" si="539"/>
        <v>18.878</v>
      </c>
      <c r="AL3435" s="5">
        <f t="shared" si="541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540"/>
        <v>0.62926666666666664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3"/>
        <v>0</v>
      </c>
      <c r="AG3436" s="2">
        <v>1.1122000000000001</v>
      </c>
      <c r="AH3436" s="2">
        <v>3</v>
      </c>
      <c r="AJ3436" s="2">
        <f t="shared" si="534"/>
        <v>0</v>
      </c>
      <c r="AK3436" s="2">
        <f t="shared" si="539"/>
        <v>75.512</v>
      </c>
      <c r="AL3436" s="5">
        <f t="shared" si="541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540"/>
        <v>0.5295333333333333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3"/>
        <v>0</v>
      </c>
      <c r="AG3437" s="2">
        <v>1.4114</v>
      </c>
      <c r="AH3437" s="2">
        <v>3</v>
      </c>
      <c r="AJ3437" s="2">
        <f t="shared" si="534"/>
        <v>0</v>
      </c>
      <c r="AK3437" s="2">
        <f t="shared" si="539"/>
        <v>31.771999999999998</v>
      </c>
      <c r="AL3437" s="5">
        <f t="shared" si="541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3226</v>
      </c>
      <c r="AA3438" s="2" t="s">
        <v>46</v>
      </c>
      <c r="AB3438" s="2" t="s">
        <v>60</v>
      </c>
      <c r="AC3438" s="2" t="s">
        <v>57</v>
      </c>
      <c r="AF3438" s="2">
        <f t="shared" si="533"/>
        <v>0</v>
      </c>
      <c r="AJ3438" s="2">
        <f t="shared" si="534"/>
        <v>0</v>
      </c>
      <c r="AK3438" s="2">
        <f t="shared" si="539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542">(T3439-W3439)/T3439</f>
        <v>0.45283848797250864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3"/>
        <v>0</v>
      </c>
      <c r="AG3439" s="2">
        <v>7.9611999999999998</v>
      </c>
      <c r="AH3439" s="2">
        <v>14.4</v>
      </c>
      <c r="AJ3439" s="2">
        <f t="shared" si="534"/>
        <v>0</v>
      </c>
      <c r="AK3439" s="2">
        <f t="shared" si="539"/>
        <v>52.710400000000007</v>
      </c>
      <c r="AL3439" s="5">
        <f t="shared" ref="AL3439:AL3458" si="543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542"/>
        <v>0.45578623188405798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3"/>
        <v>0</v>
      </c>
      <c r="AG3440" s="2">
        <v>15.020300000000001</v>
      </c>
      <c r="AH3440" s="2">
        <v>27.6</v>
      </c>
      <c r="AJ3440" s="2">
        <f t="shared" si="534"/>
        <v>0</v>
      </c>
      <c r="AK3440" s="2">
        <f t="shared" si="539"/>
        <v>12.579700000000001</v>
      </c>
      <c r="AL3440" s="5">
        <f t="shared" si="543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2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3"/>
        <v>0</v>
      </c>
      <c r="AG3441" s="2">
        <v>15.020300000000001</v>
      </c>
      <c r="AH3441" s="2">
        <v>27.6</v>
      </c>
      <c r="AJ3441" s="2">
        <f t="shared" si="534"/>
        <v>0</v>
      </c>
      <c r="AK3441" s="2">
        <f t="shared" si="539"/>
        <v>8.4796999999999993</v>
      </c>
      <c r="AL3441" s="5">
        <f t="shared" si="543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542"/>
        <v>0.3608382978723404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3"/>
        <v>0</v>
      </c>
      <c r="AG3442" s="2">
        <v>15.020300000000001</v>
      </c>
      <c r="AH3442" s="2">
        <v>27.6</v>
      </c>
      <c r="AJ3442" s="2">
        <f t="shared" si="534"/>
        <v>0</v>
      </c>
      <c r="AK3442" s="2">
        <f t="shared" si="539"/>
        <v>8.4796999999999993</v>
      </c>
      <c r="AL3442" s="5">
        <f t="shared" si="543"/>
        <v>0.3608382978723404</v>
      </c>
    </row>
    <row r="3443" spans="1:38" x14ac:dyDescent="0.2">
      <c r="A3443" s="2">
        <v>2026</v>
      </c>
      <c r="B3443" s="2">
        <v>3</v>
      </c>
      <c r="C3443" s="2" t="s">
        <v>3443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542"/>
        <v>0.31725909090909088</v>
      </c>
      <c r="Z3443" s="2" t="s">
        <v>3226</v>
      </c>
      <c r="AA3443" s="2" t="s">
        <v>46</v>
      </c>
      <c r="AB3443" s="2" t="s">
        <v>67</v>
      </c>
      <c r="AC3443" s="2" t="s">
        <v>57</v>
      </c>
      <c r="AF3443" s="2">
        <f t="shared" si="533"/>
        <v>0</v>
      </c>
      <c r="AG3443" s="2">
        <v>15.020300000000001</v>
      </c>
      <c r="AH3443" s="2">
        <v>27.6</v>
      </c>
      <c r="AJ3443" s="2">
        <f t="shared" si="534"/>
        <v>0</v>
      </c>
      <c r="AK3443" s="2">
        <f t="shared" si="539"/>
        <v>27.918799999999997</v>
      </c>
      <c r="AL3443" s="5">
        <f t="shared" si="543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542"/>
        <v>1</v>
      </c>
      <c r="Z3444" s="2" t="s">
        <v>3226</v>
      </c>
      <c r="AF3444" s="2">
        <f t="shared" si="533"/>
        <v>0</v>
      </c>
      <c r="AJ3444" s="2">
        <f t="shared" si="534"/>
        <v>0</v>
      </c>
      <c r="AK3444" s="2">
        <f t="shared" si="539"/>
        <v>4620</v>
      </c>
      <c r="AL3444" s="5">
        <f t="shared" si="543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3229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542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3229</v>
      </c>
      <c r="AF3445" s="2">
        <f t="shared" si="533"/>
        <v>0</v>
      </c>
      <c r="AG3445" s="2">
        <v>893.93</v>
      </c>
      <c r="AJ3445" s="2">
        <f t="shared" si="534"/>
        <v>0</v>
      </c>
      <c r="AK3445" s="2">
        <f t="shared" si="539"/>
        <v>856.07</v>
      </c>
      <c r="AL3445" s="5">
        <f t="shared" si="543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3229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542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3229</v>
      </c>
      <c r="AF3446" s="2">
        <f t="shared" si="533"/>
        <v>0</v>
      </c>
      <c r="AJ3446" s="2">
        <f t="shared" si="534"/>
        <v>0</v>
      </c>
      <c r="AK3446" s="2">
        <f t="shared" ref="AK3446:AK3459" si="544">T3446-W3446</f>
        <v>1023.04</v>
      </c>
      <c r="AL3446" s="5">
        <f t="shared" si="543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3229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542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3229</v>
      </c>
      <c r="AF3447" s="2">
        <f t="shared" si="533"/>
        <v>0</v>
      </c>
      <c r="AJ3447" s="2">
        <f t="shared" si="534"/>
        <v>0</v>
      </c>
      <c r="AK3447" s="2">
        <f t="shared" si="544"/>
        <v>1524.45</v>
      </c>
      <c r="AL3447" s="5">
        <f t="shared" si="543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3229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542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3229</v>
      </c>
      <c r="AF3448" s="2">
        <f t="shared" si="533"/>
        <v>0</v>
      </c>
      <c r="AJ3448" s="2">
        <f t="shared" si="534"/>
        <v>0</v>
      </c>
      <c r="AK3448" s="2">
        <f t="shared" si="544"/>
        <v>5837.69</v>
      </c>
      <c r="AL3448" s="5">
        <f t="shared" si="543"/>
        <v>0.58435335335335337</v>
      </c>
    </row>
    <row r="3449" spans="1:38" x14ac:dyDescent="0.2">
      <c r="A3449" s="2">
        <v>2026</v>
      </c>
      <c r="B3449" s="2">
        <v>3</v>
      </c>
      <c r="C3449" s="2" t="s">
        <v>3420</v>
      </c>
      <c r="D3449" s="2" t="s">
        <v>278</v>
      </c>
      <c r="E3449" s="2" t="s">
        <v>38</v>
      </c>
      <c r="G3449" s="2">
        <v>203419111</v>
      </c>
      <c r="I3449" s="2" t="s">
        <v>279</v>
      </c>
      <c r="J3449" s="2" t="s">
        <v>280</v>
      </c>
      <c r="L3449" s="2" t="s">
        <v>201</v>
      </c>
      <c r="M3449" s="2" t="s">
        <v>40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W3449" s="2">
        <v>43.5</v>
      </c>
      <c r="X3449" s="5">
        <f t="shared" si="542"/>
        <v>0.27500000000000002</v>
      </c>
      <c r="Z3449" s="2" t="s">
        <v>3226</v>
      </c>
      <c r="AA3449" s="2" t="s">
        <v>71</v>
      </c>
      <c r="AB3449" s="2" t="s">
        <v>68</v>
      </c>
      <c r="AC3449" s="2" t="s">
        <v>3230</v>
      </c>
      <c r="AF3449" s="2">
        <f t="shared" si="533"/>
        <v>0</v>
      </c>
      <c r="AJ3449" s="2">
        <f t="shared" si="534"/>
        <v>0</v>
      </c>
      <c r="AK3449" s="2">
        <f t="shared" si="544"/>
        <v>16.5</v>
      </c>
      <c r="AL3449" s="5">
        <f t="shared" si="543"/>
        <v>0.27500000000000002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542"/>
        <v>1</v>
      </c>
      <c r="Z3450" s="2" t="s">
        <v>3226</v>
      </c>
      <c r="AC3450" s="2" t="s">
        <v>3230</v>
      </c>
      <c r="AF3450" s="2">
        <f t="shared" si="533"/>
        <v>0</v>
      </c>
      <c r="AJ3450" s="2">
        <f t="shared" si="534"/>
        <v>0</v>
      </c>
      <c r="AK3450" s="2">
        <f t="shared" si="544"/>
        <v>98</v>
      </c>
      <c r="AL3450" s="5">
        <f t="shared" si="543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542"/>
        <v>1</v>
      </c>
      <c r="Z3451" s="2" t="s">
        <v>3226</v>
      </c>
      <c r="AC3451" s="2" t="s">
        <v>3230</v>
      </c>
      <c r="AF3451" s="2">
        <f t="shared" si="533"/>
        <v>0</v>
      </c>
      <c r="AJ3451" s="2">
        <f t="shared" si="534"/>
        <v>0</v>
      </c>
      <c r="AK3451" s="2">
        <f t="shared" si="544"/>
        <v>300</v>
      </c>
      <c r="AL3451" s="5">
        <f t="shared" si="543"/>
        <v>1</v>
      </c>
    </row>
    <row r="3452" spans="1:38" x14ac:dyDescent="0.2">
      <c r="A3452" s="2">
        <v>2026</v>
      </c>
      <c r="B3452" s="2">
        <v>3</v>
      </c>
      <c r="C3452" s="2" t="s">
        <v>3319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542"/>
        <v>0.3228571428571429</v>
      </c>
      <c r="Z3452" s="2" t="s">
        <v>3226</v>
      </c>
      <c r="AA3452" s="2" t="s">
        <v>71</v>
      </c>
      <c r="AB3452" s="2" t="s">
        <v>68</v>
      </c>
      <c r="AC3452" s="2" t="s">
        <v>3230</v>
      </c>
      <c r="AF3452" s="2">
        <f t="shared" si="533"/>
        <v>0</v>
      </c>
      <c r="AJ3452" s="2">
        <f t="shared" si="534"/>
        <v>0</v>
      </c>
      <c r="AK3452" s="2">
        <f t="shared" si="544"/>
        <v>22.6</v>
      </c>
      <c r="AL3452" s="5">
        <f t="shared" si="543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542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3230</v>
      </c>
      <c r="AF3453" s="2">
        <f t="shared" si="533"/>
        <v>0</v>
      </c>
      <c r="AG3453" s="2">
        <v>1130.74</v>
      </c>
      <c r="AJ3453" s="2">
        <f t="shared" si="534"/>
        <v>0</v>
      </c>
      <c r="AK3453" s="2">
        <f t="shared" si="544"/>
        <v>639.26</v>
      </c>
      <c r="AL3453" s="5">
        <f t="shared" si="543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542"/>
        <v>0.42947272727272723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3"/>
        <v>0</v>
      </c>
      <c r="AG3454" s="2">
        <v>125.51600000000001</v>
      </c>
      <c r="AH3454" s="2">
        <v>220</v>
      </c>
      <c r="AJ3454" s="2">
        <f t="shared" si="534"/>
        <v>0</v>
      </c>
      <c r="AK3454" s="2">
        <f t="shared" si="544"/>
        <v>94.483999999999995</v>
      </c>
      <c r="AL3454" s="5">
        <f t="shared" si="543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542"/>
        <v>0.4076190476190476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3"/>
        <v>0</v>
      </c>
      <c r="AG3455" s="2">
        <v>124.4</v>
      </c>
      <c r="AH3455" s="2">
        <v>200</v>
      </c>
      <c r="AJ3455" s="2">
        <f t="shared" si="534"/>
        <v>0</v>
      </c>
      <c r="AK3455" s="2">
        <f t="shared" si="544"/>
        <v>85.6</v>
      </c>
      <c r="AL3455" s="5">
        <f t="shared" si="543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542"/>
        <v>0.45165454545454548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3"/>
        <v>0</v>
      </c>
      <c r="AG3456" s="2">
        <v>120.636</v>
      </c>
      <c r="AH3456" s="2">
        <v>220</v>
      </c>
      <c r="AJ3456" s="2">
        <f t="shared" si="534"/>
        <v>0</v>
      </c>
      <c r="AK3456" s="2">
        <f t="shared" si="544"/>
        <v>99.364000000000004</v>
      </c>
      <c r="AL3456" s="5">
        <f t="shared" si="543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542"/>
        <v>0.3549081129538324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si="533"/>
        <v>0</v>
      </c>
      <c r="AG3457" s="2">
        <v>143.91999999999999</v>
      </c>
      <c r="AJ3457" s="2">
        <f t="shared" si="534"/>
        <v>0</v>
      </c>
      <c r="AK3457" s="2">
        <f t="shared" si="544"/>
        <v>79.180000000000007</v>
      </c>
      <c r="AL3457" s="5">
        <f t="shared" si="543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542"/>
        <v>0.42432000000000003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ref="AF3458:AF3521" si="545">AJ3458</f>
        <v>0</v>
      </c>
      <c r="AG3458" s="2">
        <v>143.91999999999999</v>
      </c>
      <c r="AJ3458" s="2">
        <f t="shared" ref="AJ3458:AJ3521" si="546">AI3458*T3458</f>
        <v>0</v>
      </c>
      <c r="AK3458" s="2">
        <f t="shared" si="544"/>
        <v>106.08000000000001</v>
      </c>
      <c r="AL3458" s="5">
        <f t="shared" si="543"/>
        <v>0.42432000000000003</v>
      </c>
    </row>
    <row r="3459" spans="1:38" x14ac:dyDescent="0.2">
      <c r="A3459" s="2">
        <v>2026</v>
      </c>
      <c r="B3459" s="2">
        <v>3</v>
      </c>
      <c r="C3459" s="2" t="s">
        <v>3319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45"/>
        <v>0</v>
      </c>
      <c r="AJ3459" s="2">
        <f t="shared" si="546"/>
        <v>0</v>
      </c>
      <c r="AK3459" s="2">
        <f t="shared" si="544"/>
        <v>-368.54599999999999</v>
      </c>
      <c r="AL3459" s="18">
        <f t="shared" ref="AL3459" si="547"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3420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48">(T3460-W3460)/T3460</f>
        <v>0.39365217391304347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45"/>
        <v>0</v>
      </c>
      <c r="AJ3460" s="2">
        <f t="shared" si="546"/>
        <v>0</v>
      </c>
      <c r="AK3460" s="2">
        <f t="shared" ref="AK3460:AK3491" si="549">T3460-W3460</f>
        <v>90.539999999999992</v>
      </c>
      <c r="AL3460" s="5">
        <f t="shared" ref="AL3460:AL3491" si="550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48"/>
        <v>0.42639130434782607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45"/>
        <v>0</v>
      </c>
      <c r="AG3461" s="2">
        <v>131.93</v>
      </c>
      <c r="AH3461" s="2">
        <v>220</v>
      </c>
      <c r="AJ3461" s="2">
        <f t="shared" si="546"/>
        <v>0</v>
      </c>
      <c r="AK3461" s="2">
        <f t="shared" si="549"/>
        <v>98.07</v>
      </c>
      <c r="AL3461" s="5">
        <f t="shared" si="550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48"/>
        <v>0.39620137299771163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45"/>
        <v>0</v>
      </c>
      <c r="AG3462" s="2">
        <v>131.93</v>
      </c>
      <c r="AH3462" s="2">
        <v>220</v>
      </c>
      <c r="AJ3462" s="2">
        <f t="shared" si="546"/>
        <v>0</v>
      </c>
      <c r="AK3462" s="2">
        <f t="shared" si="549"/>
        <v>86.57</v>
      </c>
      <c r="AL3462" s="5">
        <f t="shared" si="550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48"/>
        <v>0.56908185254530674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45"/>
        <v>0</v>
      </c>
      <c r="AJ3463" s="2">
        <f t="shared" si="546"/>
        <v>0</v>
      </c>
      <c r="AK3463" s="2">
        <f t="shared" si="549"/>
        <v>161.08999999999997</v>
      </c>
      <c r="AL3463" s="5">
        <f t="shared" si="550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48"/>
        <v>0.42353497164461246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45"/>
        <v>0</v>
      </c>
      <c r="AJ3464" s="2">
        <f t="shared" si="546"/>
        <v>0</v>
      </c>
      <c r="AK3464" s="2">
        <f t="shared" si="549"/>
        <v>89.61999999999999</v>
      </c>
      <c r="AL3464" s="5">
        <f t="shared" si="550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48"/>
        <v>0.46942307692307683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45"/>
        <v>0</v>
      </c>
      <c r="AJ3465" s="2">
        <f t="shared" si="546"/>
        <v>0</v>
      </c>
      <c r="AK3465" s="2">
        <f t="shared" si="549"/>
        <v>122.04999999999998</v>
      </c>
      <c r="AL3465" s="5">
        <f t="shared" si="550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48"/>
        <v>0.44819999999999993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45"/>
        <v>0</v>
      </c>
      <c r="AJ3466" s="2">
        <f t="shared" si="546"/>
        <v>0</v>
      </c>
      <c r="AK3466" s="2">
        <f t="shared" si="549"/>
        <v>112.04999999999998</v>
      </c>
      <c r="AL3466" s="5">
        <f t="shared" si="550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48"/>
        <v>0.12642752562225473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45"/>
        <v>0</v>
      </c>
      <c r="AG3467" s="2">
        <v>119.33</v>
      </c>
      <c r="AH3467" s="2">
        <v>220</v>
      </c>
      <c r="AJ3467" s="2">
        <f t="shared" si="546"/>
        <v>0</v>
      </c>
      <c r="AK3467" s="2">
        <f t="shared" si="549"/>
        <v>17.269999999999996</v>
      </c>
      <c r="AL3467" s="5">
        <f t="shared" si="550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48"/>
        <v>0.4575909090909091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45"/>
        <v>0</v>
      </c>
      <c r="AG3468" s="2">
        <v>119.33</v>
      </c>
      <c r="AH3468" s="2">
        <v>220</v>
      </c>
      <c r="AJ3468" s="2">
        <f t="shared" si="546"/>
        <v>0</v>
      </c>
      <c r="AK3468" s="2">
        <f t="shared" si="549"/>
        <v>100.67</v>
      </c>
      <c r="AL3468" s="5">
        <f t="shared" si="550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48"/>
        <v>0.48486363636363639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45"/>
        <v>0</v>
      </c>
      <c r="AG3469" s="2">
        <v>113.33</v>
      </c>
      <c r="AH3469" s="2">
        <v>220</v>
      </c>
      <c r="AJ3469" s="2">
        <f t="shared" si="546"/>
        <v>0</v>
      </c>
      <c r="AK3469" s="2">
        <f t="shared" si="549"/>
        <v>106.67</v>
      </c>
      <c r="AL3469" s="5">
        <f t="shared" si="550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48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45"/>
        <v>0</v>
      </c>
      <c r="AG3470" s="2">
        <v>122.446</v>
      </c>
      <c r="AH3470" s="2">
        <v>230</v>
      </c>
      <c r="AJ3470" s="2">
        <f t="shared" si="546"/>
        <v>0</v>
      </c>
      <c r="AK3470" s="2">
        <f t="shared" si="549"/>
        <v>107.554</v>
      </c>
      <c r="AL3470" s="5">
        <f t="shared" si="550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48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45"/>
        <v>0</v>
      </c>
      <c r="AG3471" s="2">
        <v>122.446</v>
      </c>
      <c r="AH3471" s="2">
        <v>230</v>
      </c>
      <c r="AJ3471" s="2">
        <f t="shared" si="546"/>
        <v>0</v>
      </c>
      <c r="AK3471" s="2">
        <f t="shared" si="549"/>
        <v>215.108</v>
      </c>
      <c r="AL3471" s="5">
        <f t="shared" si="550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48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45"/>
        <v>0</v>
      </c>
      <c r="AG3472" s="2">
        <v>122.446</v>
      </c>
      <c r="AH3472" s="2">
        <v>230</v>
      </c>
      <c r="AJ3472" s="2">
        <f t="shared" si="546"/>
        <v>0</v>
      </c>
      <c r="AK3472" s="2">
        <f t="shared" si="549"/>
        <v>107.554</v>
      </c>
      <c r="AL3472" s="5">
        <f t="shared" si="550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48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45"/>
        <v>0</v>
      </c>
      <c r="AG3473" s="2">
        <v>122.446</v>
      </c>
      <c r="AH3473" s="2">
        <v>230</v>
      </c>
      <c r="AJ3473" s="2">
        <f t="shared" si="546"/>
        <v>0</v>
      </c>
      <c r="AK3473" s="2">
        <f t="shared" si="549"/>
        <v>107.554</v>
      </c>
      <c r="AL3473" s="5">
        <f t="shared" si="550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48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45"/>
        <v>0</v>
      </c>
      <c r="AG3474" s="2">
        <v>122.446</v>
      </c>
      <c r="AH3474" s="2">
        <v>230</v>
      </c>
      <c r="AJ3474" s="2">
        <f t="shared" si="546"/>
        <v>0</v>
      </c>
      <c r="AK3474" s="2">
        <f t="shared" si="549"/>
        <v>107.554</v>
      </c>
      <c r="AL3474" s="5">
        <f t="shared" si="550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48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45"/>
        <v>0</v>
      </c>
      <c r="AG3475" s="2">
        <v>122.446</v>
      </c>
      <c r="AH3475" s="2">
        <v>230</v>
      </c>
      <c r="AJ3475" s="2">
        <f t="shared" si="546"/>
        <v>0</v>
      </c>
      <c r="AK3475" s="2">
        <f t="shared" si="549"/>
        <v>107.554</v>
      </c>
      <c r="AL3475" s="5">
        <f t="shared" si="550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48"/>
        <v>0.46762608695652175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45"/>
        <v>0</v>
      </c>
      <c r="AG3476" s="2">
        <v>122.446</v>
      </c>
      <c r="AH3476" s="2">
        <v>230</v>
      </c>
      <c r="AJ3476" s="2">
        <f t="shared" si="546"/>
        <v>0</v>
      </c>
      <c r="AK3476" s="2">
        <f t="shared" si="549"/>
        <v>107.554</v>
      </c>
      <c r="AL3476" s="5">
        <f t="shared" si="550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48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45"/>
        <v>0</v>
      </c>
      <c r="AG3477" s="2">
        <v>110.68</v>
      </c>
      <c r="AH3477" s="2">
        <v>210</v>
      </c>
      <c r="AJ3477" s="2">
        <f t="shared" si="546"/>
        <v>0</v>
      </c>
      <c r="AK3477" s="2">
        <f t="shared" si="549"/>
        <v>89.32</v>
      </c>
      <c r="AL3477" s="5">
        <f t="shared" si="550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48"/>
        <v>0.44659999999999994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45"/>
        <v>0</v>
      </c>
      <c r="AG3478" s="2">
        <v>110.68</v>
      </c>
      <c r="AH3478" s="2">
        <v>210</v>
      </c>
      <c r="AJ3478" s="2">
        <f t="shared" si="546"/>
        <v>0</v>
      </c>
      <c r="AK3478" s="2">
        <f t="shared" si="549"/>
        <v>89.32</v>
      </c>
      <c r="AL3478" s="5">
        <f t="shared" si="550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48"/>
        <v>0.37409499358151477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45"/>
        <v>0</v>
      </c>
      <c r="AG3479" s="2">
        <f>110.125+11.77</f>
        <v>121.895</v>
      </c>
      <c r="AJ3479" s="2">
        <f t="shared" si="546"/>
        <v>0</v>
      </c>
      <c r="AK3479" s="2">
        <f t="shared" si="549"/>
        <v>72.855000000000004</v>
      </c>
      <c r="AL3479" s="5">
        <f t="shared" si="550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48"/>
        <v>0.49354545454545456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45"/>
        <v>0</v>
      </c>
      <c r="AJ3480" s="2">
        <f t="shared" si="546"/>
        <v>0</v>
      </c>
      <c r="AK3480" s="2">
        <f t="shared" si="549"/>
        <v>108.58</v>
      </c>
      <c r="AL3480" s="5">
        <f t="shared" si="550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48"/>
        <v>0.45100000000000001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45"/>
        <v>0</v>
      </c>
      <c r="AJ3481" s="2">
        <f t="shared" si="546"/>
        <v>0</v>
      </c>
      <c r="AK3481" s="2">
        <f t="shared" si="549"/>
        <v>121.77000000000001</v>
      </c>
      <c r="AL3481" s="5">
        <f t="shared" si="550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3133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48"/>
        <v>0.33525000000000005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45"/>
        <v>0</v>
      </c>
      <c r="AG3482" s="2">
        <f>144.14+15.4</f>
        <v>159.54</v>
      </c>
      <c r="AH3482" s="2">
        <v>280</v>
      </c>
      <c r="AJ3482" s="2">
        <f t="shared" si="546"/>
        <v>0</v>
      </c>
      <c r="AK3482" s="2">
        <f t="shared" si="549"/>
        <v>80.460000000000008</v>
      </c>
      <c r="AL3482" s="5">
        <f t="shared" si="550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48"/>
        <v>0.43021428571428572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45"/>
        <v>0</v>
      </c>
      <c r="AG3483" s="2">
        <f>144.14+15.4</f>
        <v>159.54</v>
      </c>
      <c r="AH3483" s="2">
        <v>280</v>
      </c>
      <c r="AJ3483" s="2">
        <f t="shared" si="546"/>
        <v>0</v>
      </c>
      <c r="AK3483" s="2">
        <f t="shared" si="549"/>
        <v>120.46000000000001</v>
      </c>
      <c r="AL3483" s="5">
        <f t="shared" si="550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48"/>
        <v>0.51566906429227799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45"/>
        <v>0</v>
      </c>
      <c r="AG3484" s="2">
        <v>152.85</v>
      </c>
      <c r="AH3484" s="2">
        <v>260</v>
      </c>
      <c r="AJ3484" s="2">
        <f t="shared" si="546"/>
        <v>0</v>
      </c>
      <c r="AK3484" s="2">
        <f t="shared" si="549"/>
        <v>162.73999999999998</v>
      </c>
      <c r="AL3484" s="5">
        <f t="shared" si="550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48"/>
        <v>0.38117408906882594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45"/>
        <v>0</v>
      </c>
      <c r="AG3485" s="2">
        <v>152.85</v>
      </c>
      <c r="AH3485" s="2">
        <v>260</v>
      </c>
      <c r="AJ3485" s="2">
        <f t="shared" si="546"/>
        <v>0</v>
      </c>
      <c r="AK3485" s="2">
        <f t="shared" si="549"/>
        <v>94.15</v>
      </c>
      <c r="AL3485" s="5">
        <f t="shared" si="550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F3486" s="2" t="s">
        <v>39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48"/>
        <v>0.32854691075514875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45"/>
        <v>0</v>
      </c>
      <c r="AJ3486" s="2">
        <f t="shared" si="546"/>
        <v>0</v>
      </c>
      <c r="AK3486" s="2">
        <f t="shared" si="549"/>
        <v>114.86000000000001</v>
      </c>
      <c r="AL3486" s="5">
        <f t="shared" si="550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48"/>
        <v>0.1089142193564161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45"/>
        <v>0</v>
      </c>
      <c r="AG3487" s="2">
        <v>291.58999999999997</v>
      </c>
      <c r="AH3487" s="2">
        <v>450</v>
      </c>
      <c r="AJ3487" s="2">
        <f t="shared" si="546"/>
        <v>0</v>
      </c>
      <c r="AK3487" s="2">
        <f t="shared" si="549"/>
        <v>35.640000000000043</v>
      </c>
      <c r="AL3487" s="5">
        <f t="shared" si="550"/>
        <v>0.1089142193564161</v>
      </c>
    </row>
    <row r="3488" spans="1:38" x14ac:dyDescent="0.2">
      <c r="A3488" s="2">
        <v>2026</v>
      </c>
      <c r="B3488" s="2">
        <v>3</v>
      </c>
      <c r="C3488" s="2" t="s">
        <v>3420</v>
      </c>
      <c r="D3488" s="2" t="s">
        <v>2143</v>
      </c>
      <c r="E3488" s="2" t="s">
        <v>108</v>
      </c>
      <c r="F3488" s="2" t="s">
        <v>39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48"/>
        <v>0.47452830188679246</v>
      </c>
      <c r="Z3488" s="2" t="s">
        <v>3226</v>
      </c>
      <c r="AA3488" s="2" t="s">
        <v>75</v>
      </c>
      <c r="AB3488" s="2" t="s">
        <v>76</v>
      </c>
      <c r="AC3488" s="2" t="s">
        <v>77</v>
      </c>
      <c r="AF3488" s="2">
        <f t="shared" si="545"/>
        <v>0</v>
      </c>
      <c r="AJ3488" s="2">
        <f t="shared" si="546"/>
        <v>0</v>
      </c>
      <c r="AK3488" s="2">
        <f t="shared" si="549"/>
        <v>251.5</v>
      </c>
      <c r="AL3488" s="5">
        <f t="shared" si="550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48"/>
        <v>0.36257777777777783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45"/>
        <v>0</v>
      </c>
      <c r="AJ3489" s="2">
        <f t="shared" si="546"/>
        <v>0</v>
      </c>
      <c r="AK3489" s="2">
        <f t="shared" si="549"/>
        <v>163.16000000000003</v>
      </c>
      <c r="AL3489" s="5">
        <f t="shared" si="550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3154</v>
      </c>
      <c r="L3490" s="2" t="s">
        <v>99</v>
      </c>
      <c r="M3490" s="2" t="s">
        <v>80</v>
      </c>
      <c r="O3490" s="2" t="s">
        <v>3153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48"/>
        <v>0.56678650821966681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45"/>
        <v>0</v>
      </c>
      <c r="AG3490" s="2">
        <v>157.85</v>
      </c>
      <c r="AJ3490" s="2">
        <f t="shared" si="546"/>
        <v>0</v>
      </c>
      <c r="AK3490" s="2">
        <f t="shared" si="549"/>
        <v>206.52</v>
      </c>
      <c r="AL3490" s="5">
        <f t="shared" si="550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48"/>
        <v>0.47124137931034482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45"/>
        <v>0</v>
      </c>
      <c r="AJ3491" s="2">
        <f t="shared" si="546"/>
        <v>0</v>
      </c>
      <c r="AK3491" s="2">
        <f t="shared" si="549"/>
        <v>136.66</v>
      </c>
      <c r="AL3491" s="5">
        <f t="shared" si="550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51">(T3492-W3492)/T3492</f>
        <v>0.45986046511627909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45"/>
        <v>0</v>
      </c>
      <c r="AG3492" s="2">
        <v>232.26</v>
      </c>
      <c r="AJ3492" s="2">
        <f t="shared" si="546"/>
        <v>0</v>
      </c>
      <c r="AK3492" s="2">
        <f t="shared" ref="AK3492:AK3523" si="552">T3492-W3492</f>
        <v>197.74</v>
      </c>
      <c r="AL3492" s="5">
        <f t="shared" ref="AL3492:AL3523" si="553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3160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51"/>
        <v>0.32349999999999995</v>
      </c>
      <c r="Z3493" s="2" t="s">
        <v>3226</v>
      </c>
      <c r="AA3493" s="2" t="s">
        <v>75</v>
      </c>
      <c r="AB3493" s="2" t="s">
        <v>76</v>
      </c>
      <c r="AC3493" s="2" t="s">
        <v>1038</v>
      </c>
      <c r="AF3493" s="2">
        <f t="shared" si="545"/>
        <v>0</v>
      </c>
      <c r="AG3493" s="2">
        <v>270.60000000000002</v>
      </c>
      <c r="AJ3493" s="2">
        <f t="shared" si="546"/>
        <v>0</v>
      </c>
      <c r="AK3493" s="2">
        <f t="shared" si="552"/>
        <v>129.39999999999998</v>
      </c>
      <c r="AL3493" s="5">
        <f t="shared" si="553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51"/>
        <v>0.65494285714285716</v>
      </c>
      <c r="Z3494" s="2" t="s">
        <v>3226</v>
      </c>
      <c r="AA3494" s="2" t="s">
        <v>87</v>
      </c>
      <c r="AB3494" s="2" t="s">
        <v>90</v>
      </c>
      <c r="AC3494" s="2" t="s">
        <v>84</v>
      </c>
      <c r="AF3494" s="2">
        <f t="shared" si="545"/>
        <v>0</v>
      </c>
      <c r="AJ3494" s="2">
        <f t="shared" si="546"/>
        <v>0</v>
      </c>
      <c r="AK3494" s="2">
        <f t="shared" si="552"/>
        <v>4.5846</v>
      </c>
      <c r="AL3494" s="5">
        <f t="shared" si="553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Z3495" s="2" t="s">
        <v>3226</v>
      </c>
      <c r="AA3495" s="2" t="s">
        <v>87</v>
      </c>
      <c r="AB3495" s="2" t="s">
        <v>60</v>
      </c>
      <c r="AC3495" s="2" t="s">
        <v>84</v>
      </c>
      <c r="AF3495" s="2">
        <f t="shared" si="545"/>
        <v>0</v>
      </c>
      <c r="AJ3495" s="2">
        <f t="shared" si="546"/>
        <v>0</v>
      </c>
      <c r="AK3495" s="2">
        <f t="shared" si="552"/>
        <v>0</v>
      </c>
      <c r="AL3495" s="5" t="e">
        <f t="shared" si="553"/>
        <v>#DIV/0!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51"/>
        <v>0.58000000000000007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45"/>
        <v>0</v>
      </c>
      <c r="AJ3496" s="2">
        <f t="shared" si="546"/>
        <v>0</v>
      </c>
      <c r="AK3496" s="2">
        <f t="shared" si="552"/>
        <v>4.0600000000000005</v>
      </c>
      <c r="AL3496" s="5">
        <f t="shared" si="553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51"/>
        <v>0.4107142857142857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45"/>
        <v>0</v>
      </c>
      <c r="AJ3497" s="2">
        <f t="shared" si="546"/>
        <v>0</v>
      </c>
      <c r="AK3497" s="2">
        <f t="shared" si="552"/>
        <v>3.45</v>
      </c>
      <c r="AL3497" s="5">
        <f t="shared" si="553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51"/>
        <v>0.70177380952380952</v>
      </c>
      <c r="Z3498" s="2" t="s">
        <v>3226</v>
      </c>
      <c r="AA3498" s="2" t="s">
        <v>87</v>
      </c>
      <c r="AB3498" s="2" t="s">
        <v>90</v>
      </c>
      <c r="AC3498" s="2" t="s">
        <v>84</v>
      </c>
      <c r="AF3498" s="2">
        <f t="shared" si="545"/>
        <v>0</v>
      </c>
      <c r="AJ3498" s="2">
        <f t="shared" si="546"/>
        <v>0</v>
      </c>
      <c r="AK3498" s="2">
        <f t="shared" si="552"/>
        <v>5.8948999999999998</v>
      </c>
      <c r="AL3498" s="5">
        <f t="shared" si="553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51"/>
        <v>0.15862011173184362</v>
      </c>
      <c r="Z3499" s="2" t="s">
        <v>3226</v>
      </c>
      <c r="AA3499" s="2" t="s">
        <v>87</v>
      </c>
      <c r="AC3499" s="2" t="s">
        <v>84</v>
      </c>
      <c r="AF3499" s="2">
        <f t="shared" si="545"/>
        <v>0</v>
      </c>
      <c r="AG3499" s="2">
        <v>1506.07</v>
      </c>
      <c r="AJ3499" s="2">
        <f t="shared" si="546"/>
        <v>0</v>
      </c>
      <c r="AK3499" s="2">
        <f t="shared" si="552"/>
        <v>283.93000000000006</v>
      </c>
      <c r="AL3499" s="5">
        <f t="shared" si="553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51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45"/>
        <v>0</v>
      </c>
      <c r="AG3500" s="2">
        <f>1477+320.06</f>
        <v>1797.06</v>
      </c>
      <c r="AJ3500" s="2">
        <f t="shared" si="546"/>
        <v>0</v>
      </c>
      <c r="AK3500" s="2">
        <f t="shared" si="552"/>
        <v>692.94</v>
      </c>
      <c r="AL3500" s="5">
        <f t="shared" si="553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51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45"/>
        <v>0</v>
      </c>
      <c r="AG3501" s="2">
        <f>235+50.93</f>
        <v>285.93</v>
      </c>
      <c r="AJ3501" s="2">
        <f t="shared" si="546"/>
        <v>0</v>
      </c>
      <c r="AK3501" s="2">
        <f t="shared" si="552"/>
        <v>328.14</v>
      </c>
      <c r="AL3501" s="5">
        <f t="shared" si="553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51"/>
        <v>0.35858218533413194</v>
      </c>
      <c r="Z3502" s="2" t="s">
        <v>3226</v>
      </c>
      <c r="AA3502" s="2" t="s">
        <v>1041</v>
      </c>
      <c r="AB3502" s="2" t="s">
        <v>2751</v>
      </c>
      <c r="AC3502" s="2" t="s">
        <v>1038</v>
      </c>
      <c r="AF3502" s="2">
        <f t="shared" si="545"/>
        <v>0</v>
      </c>
      <c r="AJ3502" s="2">
        <f t="shared" si="546"/>
        <v>0</v>
      </c>
      <c r="AK3502" s="2">
        <f t="shared" si="552"/>
        <v>335.26</v>
      </c>
      <c r="AL3502" s="5">
        <f t="shared" si="553"/>
        <v>0.35858218533413194</v>
      </c>
    </row>
    <row r="3503" spans="1:38" x14ac:dyDescent="0.2">
      <c r="A3503" s="2">
        <v>2026</v>
      </c>
      <c r="B3503" s="2">
        <v>3</v>
      </c>
      <c r="C3503" s="2" t="s">
        <v>3443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51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45"/>
        <v>0</v>
      </c>
      <c r="AJ3503" s="2">
        <f t="shared" si="546"/>
        <v>0</v>
      </c>
      <c r="AK3503" s="2">
        <f t="shared" si="552"/>
        <v>813.00750000000016</v>
      </c>
      <c r="AL3503" s="5">
        <f t="shared" si="553"/>
        <v>0.25000000000000006</v>
      </c>
    </row>
    <row r="3504" spans="1:38" x14ac:dyDescent="0.2">
      <c r="A3504" s="2">
        <v>2026</v>
      </c>
      <c r="B3504" s="2">
        <v>3</v>
      </c>
      <c r="C3504" s="2" t="s">
        <v>3443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51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45"/>
        <v>0</v>
      </c>
      <c r="AJ3504" s="2">
        <f t="shared" si="546"/>
        <v>0</v>
      </c>
      <c r="AK3504" s="2">
        <f t="shared" si="552"/>
        <v>250</v>
      </c>
      <c r="AL3504" s="5">
        <f t="shared" si="553"/>
        <v>0.25</v>
      </c>
    </row>
    <row r="3505" spans="1:38" x14ac:dyDescent="0.2">
      <c r="A3505" s="2">
        <v>2026</v>
      </c>
      <c r="B3505" s="2">
        <v>3</v>
      </c>
      <c r="C3505" s="2" t="s">
        <v>3443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51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45"/>
        <v>0</v>
      </c>
      <c r="AJ3505" s="2">
        <f t="shared" si="546"/>
        <v>0</v>
      </c>
      <c r="AK3505" s="2">
        <f t="shared" si="552"/>
        <v>375</v>
      </c>
      <c r="AL3505" s="5">
        <f t="shared" si="553"/>
        <v>0.25</v>
      </c>
    </row>
    <row r="3506" spans="1:38" x14ac:dyDescent="0.2">
      <c r="A3506" s="2">
        <v>2026</v>
      </c>
      <c r="B3506" s="2">
        <v>3</v>
      </c>
      <c r="C3506" s="2" t="s">
        <v>3443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1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45"/>
        <v>0</v>
      </c>
      <c r="AJ3506" s="2">
        <f t="shared" si="546"/>
        <v>0</v>
      </c>
      <c r="AK3506" s="2">
        <f t="shared" si="552"/>
        <v>500</v>
      </c>
      <c r="AL3506" s="5">
        <f t="shared" si="553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51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45"/>
        <v>0</v>
      </c>
      <c r="AJ3507" s="2">
        <f t="shared" si="546"/>
        <v>0</v>
      </c>
      <c r="AK3507" s="2">
        <f t="shared" si="552"/>
        <v>500</v>
      </c>
      <c r="AL3507" s="5">
        <f t="shared" si="553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51"/>
        <v>1</v>
      </c>
      <c r="Z3508" s="2" t="s">
        <v>119</v>
      </c>
      <c r="AA3508" s="2" t="s">
        <v>492</v>
      </c>
      <c r="AF3508" s="2">
        <f t="shared" si="545"/>
        <v>0</v>
      </c>
      <c r="AJ3508" s="2">
        <f t="shared" si="546"/>
        <v>0</v>
      </c>
      <c r="AK3508" s="2">
        <f t="shared" si="552"/>
        <v>678.91</v>
      </c>
      <c r="AL3508" s="5">
        <f t="shared" si="553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51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45"/>
        <v>0</v>
      </c>
      <c r="AG3509" s="2">
        <f t="shared" ref="AG3509:AG3519" si="554">W3509</f>
        <v>13.75</v>
      </c>
      <c r="AJ3509" s="2">
        <f t="shared" si="546"/>
        <v>0</v>
      </c>
      <c r="AK3509" s="2">
        <f t="shared" si="552"/>
        <v>13.75</v>
      </c>
      <c r="AL3509" s="5">
        <f t="shared" si="553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51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45"/>
        <v>0</v>
      </c>
      <c r="AG3510" s="2">
        <f t="shared" si="554"/>
        <v>51.6</v>
      </c>
      <c r="AJ3510" s="2">
        <f t="shared" si="546"/>
        <v>0</v>
      </c>
      <c r="AK3510" s="2">
        <f t="shared" si="552"/>
        <v>77.400000000000006</v>
      </c>
      <c r="AL3510" s="5">
        <f t="shared" si="553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51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45"/>
        <v>0</v>
      </c>
      <c r="AG3511" s="2">
        <f t="shared" si="554"/>
        <v>27.5</v>
      </c>
      <c r="AJ3511" s="2">
        <f t="shared" si="546"/>
        <v>0</v>
      </c>
      <c r="AK3511" s="2">
        <f t="shared" si="552"/>
        <v>27.5</v>
      </c>
      <c r="AL3511" s="5">
        <f t="shared" si="553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51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45"/>
        <v>0</v>
      </c>
      <c r="AG3512" s="2">
        <f t="shared" si="554"/>
        <v>106.80000000000001</v>
      </c>
      <c r="AJ3512" s="2">
        <f t="shared" si="546"/>
        <v>0</v>
      </c>
      <c r="AK3512" s="2">
        <f t="shared" si="552"/>
        <v>160.19999999999999</v>
      </c>
      <c r="AL3512" s="5">
        <f t="shared" si="553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51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45"/>
        <v>0</v>
      </c>
      <c r="AG3513" s="2">
        <f t="shared" si="554"/>
        <v>37.5</v>
      </c>
      <c r="AJ3513" s="2">
        <f t="shared" si="546"/>
        <v>0</v>
      </c>
      <c r="AK3513" s="2">
        <f t="shared" si="552"/>
        <v>37.5</v>
      </c>
      <c r="AL3513" s="5">
        <f t="shared" si="553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51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45"/>
        <v>0</v>
      </c>
      <c r="AG3514" s="2">
        <f t="shared" si="554"/>
        <v>72</v>
      </c>
      <c r="AJ3514" s="2">
        <f t="shared" si="546"/>
        <v>0</v>
      </c>
      <c r="AK3514" s="2">
        <f t="shared" si="552"/>
        <v>108</v>
      </c>
      <c r="AL3514" s="5">
        <f t="shared" si="553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51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45"/>
        <v>0</v>
      </c>
      <c r="AG3515" s="2">
        <f t="shared" si="554"/>
        <v>20.625</v>
      </c>
      <c r="AJ3515" s="2">
        <f t="shared" si="546"/>
        <v>0</v>
      </c>
      <c r="AK3515" s="2">
        <f t="shared" si="552"/>
        <v>20.625</v>
      </c>
      <c r="AL3515" s="5">
        <f t="shared" si="553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51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45"/>
        <v>0</v>
      </c>
      <c r="AG3516" s="2">
        <f t="shared" si="554"/>
        <v>48</v>
      </c>
      <c r="AJ3516" s="2">
        <f t="shared" si="546"/>
        <v>0</v>
      </c>
      <c r="AK3516" s="2">
        <f t="shared" si="552"/>
        <v>72</v>
      </c>
      <c r="AL3516" s="5">
        <f t="shared" si="553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51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45"/>
        <v>0</v>
      </c>
      <c r="AG3517" s="2">
        <f t="shared" si="554"/>
        <v>27.5</v>
      </c>
      <c r="AJ3517" s="2">
        <f t="shared" si="546"/>
        <v>0</v>
      </c>
      <c r="AK3517" s="2">
        <f t="shared" si="552"/>
        <v>27.5</v>
      </c>
      <c r="AL3517" s="5">
        <f t="shared" si="553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51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45"/>
        <v>0</v>
      </c>
      <c r="AG3518" s="2">
        <f t="shared" si="554"/>
        <v>22</v>
      </c>
      <c r="AJ3518" s="2">
        <f t="shared" si="546"/>
        <v>0</v>
      </c>
      <c r="AK3518" s="2">
        <f t="shared" si="552"/>
        <v>33</v>
      </c>
      <c r="AL3518" s="5">
        <f t="shared" si="553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3216</v>
      </c>
      <c r="J3519" s="2" t="s">
        <v>3215</v>
      </c>
      <c r="K3519" s="2">
        <v>913814877</v>
      </c>
      <c r="L3519" s="2" t="s">
        <v>201</v>
      </c>
      <c r="M3519" s="2" t="s">
        <v>40</v>
      </c>
      <c r="O3519" s="2" t="s">
        <v>3211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51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45"/>
        <v>0</v>
      </c>
      <c r="AG3519" s="2">
        <f t="shared" si="554"/>
        <v>25</v>
      </c>
      <c r="AJ3519" s="2">
        <f t="shared" si="546"/>
        <v>0</v>
      </c>
      <c r="AK3519" s="2">
        <f t="shared" si="552"/>
        <v>25</v>
      </c>
      <c r="AL3519" s="5">
        <f t="shared" si="553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51"/>
        <v>0.40327485380116956</v>
      </c>
      <c r="Z3520" s="2" t="s">
        <v>3226</v>
      </c>
      <c r="AA3520" s="2" t="s">
        <v>1041</v>
      </c>
      <c r="AB3520" s="2" t="s">
        <v>1270</v>
      </c>
      <c r="AC3520" s="2" t="s">
        <v>1038</v>
      </c>
      <c r="AF3520" s="2">
        <f t="shared" si="545"/>
        <v>0</v>
      </c>
      <c r="AJ3520" s="2">
        <f t="shared" si="546"/>
        <v>0</v>
      </c>
      <c r="AK3520" s="2">
        <f t="shared" si="552"/>
        <v>275.83999999999997</v>
      </c>
      <c r="AL3520" s="5">
        <f t="shared" si="553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51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45"/>
        <v>0</v>
      </c>
      <c r="AG3521" s="2">
        <f t="shared" ref="AG3521:AG3532" si="555">W3521</f>
        <v>24</v>
      </c>
      <c r="AJ3521" s="2">
        <f t="shared" si="546"/>
        <v>0</v>
      </c>
      <c r="AK3521" s="2">
        <f t="shared" si="552"/>
        <v>36</v>
      </c>
      <c r="AL3521" s="5">
        <f t="shared" si="553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51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56">AJ3522</f>
        <v>0</v>
      </c>
      <c r="AG3522" s="2">
        <f t="shared" si="555"/>
        <v>55</v>
      </c>
      <c r="AJ3522" s="2">
        <f t="shared" ref="AJ3522:AJ3585" si="557">AI3522*T3522</f>
        <v>0</v>
      </c>
      <c r="AK3522" s="2">
        <f t="shared" si="552"/>
        <v>55</v>
      </c>
      <c r="AL3522" s="5">
        <f t="shared" si="553"/>
        <v>0.5</v>
      </c>
    </row>
    <row r="3523" spans="1:38" x14ac:dyDescent="0.2">
      <c r="A3523" s="2">
        <v>2026</v>
      </c>
      <c r="B3523" s="2">
        <v>3</v>
      </c>
      <c r="C3523" s="2" t="s">
        <v>3319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51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56"/>
        <v>0</v>
      </c>
      <c r="AG3523" s="2">
        <f t="shared" si="555"/>
        <v>25</v>
      </c>
      <c r="AJ3523" s="2">
        <f t="shared" si="557"/>
        <v>0</v>
      </c>
      <c r="AK3523" s="2">
        <f t="shared" si="552"/>
        <v>25</v>
      </c>
      <c r="AL3523" s="5">
        <f t="shared" si="553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58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56"/>
        <v>0</v>
      </c>
      <c r="AG3524" s="2">
        <f t="shared" si="555"/>
        <v>149.6</v>
      </c>
      <c r="AJ3524" s="2">
        <f t="shared" si="557"/>
        <v>0</v>
      </c>
      <c r="AK3524" s="2">
        <f t="shared" ref="AK3524:AK3540" si="559">T3524-W3524</f>
        <v>224.4</v>
      </c>
      <c r="AL3524" s="5">
        <f t="shared" ref="AL3524:AL3538" si="560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58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56"/>
        <v>0</v>
      </c>
      <c r="AG3525" s="2">
        <f t="shared" si="555"/>
        <v>110</v>
      </c>
      <c r="AJ3525" s="2">
        <f t="shared" si="557"/>
        <v>0</v>
      </c>
      <c r="AK3525" s="2">
        <f t="shared" si="559"/>
        <v>110</v>
      </c>
      <c r="AL3525" s="5">
        <f t="shared" si="560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58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56"/>
        <v>0</v>
      </c>
      <c r="AG3526" s="2">
        <f t="shared" si="555"/>
        <v>20</v>
      </c>
      <c r="AJ3526" s="2">
        <f t="shared" si="557"/>
        <v>0</v>
      </c>
      <c r="AK3526" s="2">
        <f t="shared" si="559"/>
        <v>30</v>
      </c>
      <c r="AL3526" s="5">
        <f t="shared" si="560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58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56"/>
        <v>0</v>
      </c>
      <c r="AG3527" s="2">
        <f t="shared" si="555"/>
        <v>31.25</v>
      </c>
      <c r="AJ3527" s="2">
        <f t="shared" si="557"/>
        <v>0</v>
      </c>
      <c r="AK3527" s="2">
        <f t="shared" si="559"/>
        <v>31.25</v>
      </c>
      <c r="AL3527" s="5">
        <f t="shared" si="560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58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56"/>
        <v>0</v>
      </c>
      <c r="AG3528" s="2">
        <f t="shared" si="555"/>
        <v>20</v>
      </c>
      <c r="AJ3528" s="2">
        <f t="shared" si="557"/>
        <v>0</v>
      </c>
      <c r="AK3528" s="2">
        <f t="shared" si="559"/>
        <v>30</v>
      </c>
      <c r="AL3528" s="5">
        <f t="shared" si="560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58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56"/>
        <v>0</v>
      </c>
      <c r="AG3529" s="2">
        <f t="shared" si="555"/>
        <v>75</v>
      </c>
      <c r="AJ3529" s="2">
        <f t="shared" si="557"/>
        <v>0</v>
      </c>
      <c r="AK3529" s="2">
        <f t="shared" si="559"/>
        <v>75</v>
      </c>
      <c r="AL3529" s="5">
        <f t="shared" si="560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58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56"/>
        <v>0</v>
      </c>
      <c r="AG3530" s="2">
        <f t="shared" si="555"/>
        <v>96</v>
      </c>
      <c r="AJ3530" s="2">
        <f t="shared" si="557"/>
        <v>0</v>
      </c>
      <c r="AK3530" s="2">
        <f t="shared" si="559"/>
        <v>144</v>
      </c>
      <c r="AL3530" s="5">
        <f t="shared" si="560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58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56"/>
        <v>0</v>
      </c>
      <c r="AG3531" s="2">
        <f t="shared" si="555"/>
        <v>200</v>
      </c>
      <c r="AJ3531" s="2">
        <f t="shared" si="557"/>
        <v>0</v>
      </c>
      <c r="AK3531" s="2">
        <f t="shared" si="559"/>
        <v>200</v>
      </c>
      <c r="AL3531" s="5">
        <f t="shared" si="560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58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56"/>
        <v>0</v>
      </c>
      <c r="AG3532" s="2">
        <f t="shared" si="555"/>
        <v>44</v>
      </c>
      <c r="AJ3532" s="2">
        <f t="shared" si="557"/>
        <v>0</v>
      </c>
      <c r="AK3532" s="2">
        <f t="shared" si="559"/>
        <v>66</v>
      </c>
      <c r="AL3532" s="5">
        <f t="shared" si="560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58"/>
        <v>-1.0309723280020309</v>
      </c>
      <c r="Z3533" s="2" t="s">
        <v>169</v>
      </c>
      <c r="AA3533" s="2" t="s">
        <v>169</v>
      </c>
      <c r="AF3533" s="2">
        <f t="shared" si="556"/>
        <v>0</v>
      </c>
      <c r="AJ3533" s="2">
        <f t="shared" si="557"/>
        <v>0</v>
      </c>
      <c r="AK3533" s="2">
        <f t="shared" si="559"/>
        <v>-40.61</v>
      </c>
      <c r="AL3533" s="5">
        <f t="shared" si="560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58"/>
        <v>0.23333333333333334</v>
      </c>
      <c r="Z3534" s="2" t="s">
        <v>169</v>
      </c>
      <c r="AA3534" s="2" t="s">
        <v>169</v>
      </c>
      <c r="AF3534" s="2">
        <f t="shared" si="556"/>
        <v>0</v>
      </c>
      <c r="AG3534" s="2">
        <v>23</v>
      </c>
      <c r="AJ3534" s="2">
        <f t="shared" si="557"/>
        <v>0</v>
      </c>
      <c r="AK3534" s="2">
        <f t="shared" si="559"/>
        <v>7</v>
      </c>
      <c r="AL3534" s="5">
        <f t="shared" si="560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58"/>
        <v>-0.53333333333333333</v>
      </c>
      <c r="Z3535" s="2" t="s">
        <v>169</v>
      </c>
      <c r="AA3535" s="2" t="s">
        <v>169</v>
      </c>
      <c r="AF3535" s="2">
        <f t="shared" si="556"/>
        <v>0</v>
      </c>
      <c r="AJ3535" s="2">
        <f t="shared" si="557"/>
        <v>0</v>
      </c>
      <c r="AK3535" s="2">
        <f t="shared" si="559"/>
        <v>-8</v>
      </c>
      <c r="AL3535" s="5">
        <f t="shared" si="560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58"/>
        <v>-0.2</v>
      </c>
      <c r="Z3536" s="2" t="s">
        <v>169</v>
      </c>
      <c r="AA3536" s="2" t="s">
        <v>169</v>
      </c>
      <c r="AF3536" s="2">
        <f t="shared" si="556"/>
        <v>0</v>
      </c>
      <c r="AJ3536" s="2">
        <f t="shared" si="557"/>
        <v>0</v>
      </c>
      <c r="AK3536" s="2">
        <f t="shared" si="559"/>
        <v>-1</v>
      </c>
      <c r="AL3536" s="5">
        <f t="shared" si="560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58"/>
        <v>1</v>
      </c>
      <c r="Z3537" s="2" t="s">
        <v>3226</v>
      </c>
      <c r="AA3537" s="2" t="s">
        <v>87</v>
      </c>
      <c r="AB3537" s="2" t="s">
        <v>90</v>
      </c>
      <c r="AC3537" s="2" t="s">
        <v>84</v>
      </c>
      <c r="AF3537" s="2">
        <f t="shared" si="556"/>
        <v>0</v>
      </c>
      <c r="AJ3537" s="2">
        <f t="shared" si="557"/>
        <v>0</v>
      </c>
      <c r="AK3537" s="2">
        <f t="shared" si="559"/>
        <v>15.4</v>
      </c>
      <c r="AL3537" s="5">
        <f t="shared" si="560"/>
        <v>1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58"/>
        <v>-0.2</v>
      </c>
      <c r="Z3538" s="2" t="s">
        <v>169</v>
      </c>
      <c r="AA3538" s="2" t="s">
        <v>169</v>
      </c>
      <c r="AF3538" s="2">
        <f t="shared" si="556"/>
        <v>0</v>
      </c>
      <c r="AJ3538" s="2">
        <f t="shared" si="557"/>
        <v>0</v>
      </c>
      <c r="AK3538" s="2">
        <f t="shared" si="559"/>
        <v>-1</v>
      </c>
      <c r="AL3538" s="5">
        <f t="shared" si="560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X3539" s="18"/>
      <c r="Z3539" s="2" t="s">
        <v>119</v>
      </c>
      <c r="AA3539" s="2" t="s">
        <v>142</v>
      </c>
      <c r="AF3539" s="2">
        <f t="shared" si="556"/>
        <v>0</v>
      </c>
      <c r="AJ3539" s="2">
        <f t="shared" si="557"/>
        <v>0</v>
      </c>
      <c r="AK3539" s="2">
        <f t="shared" si="559"/>
        <v>-5.15</v>
      </c>
      <c r="AL3539" s="18"/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X3540" s="18"/>
      <c r="Z3540" s="2" t="s">
        <v>119</v>
      </c>
      <c r="AA3540" s="2" t="s">
        <v>142</v>
      </c>
      <c r="AF3540" s="2">
        <f t="shared" si="556"/>
        <v>0</v>
      </c>
      <c r="AJ3540" s="2">
        <f t="shared" si="557"/>
        <v>0</v>
      </c>
      <c r="AK3540" s="2">
        <f t="shared" si="559"/>
        <v>-458.06</v>
      </c>
      <c r="AL3540" s="18"/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61">(T3541-W3541)/T3541</f>
        <v>1</v>
      </c>
      <c r="Z3541" s="2" t="s">
        <v>117</v>
      </c>
      <c r="AA3541" s="2" t="s">
        <v>1310</v>
      </c>
      <c r="AF3541" s="2">
        <f t="shared" si="556"/>
        <v>0</v>
      </c>
      <c r="AJ3541" s="2">
        <f t="shared" si="557"/>
        <v>0</v>
      </c>
      <c r="AK3541" s="2">
        <f t="shared" ref="AK3541:AK3547" si="562">T3541-W3541</f>
        <v>111</v>
      </c>
      <c r="AL3541" s="5">
        <f t="shared" ref="AL3541:AL3546" si="563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61"/>
        <v>2.000401846171453E-16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56"/>
        <v>0</v>
      </c>
      <c r="AJ3542" s="2">
        <f t="shared" si="557"/>
        <v>0</v>
      </c>
      <c r="AK3542" s="2">
        <f t="shared" si="562"/>
        <v>0</v>
      </c>
      <c r="AL3542" s="5">
        <f t="shared" si="563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1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56"/>
        <v>0</v>
      </c>
      <c r="AJ3543" s="2">
        <f t="shared" si="557"/>
        <v>0</v>
      </c>
      <c r="AK3543" s="2">
        <f t="shared" si="562"/>
        <v>0</v>
      </c>
      <c r="AL3543" s="5">
        <f t="shared" si="563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1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56"/>
        <v>0</v>
      </c>
      <c r="AG3544" s="2">
        <v>1.48</v>
      </c>
      <c r="AH3544" s="2">
        <v>1.48</v>
      </c>
      <c r="AJ3544" s="2">
        <f t="shared" si="557"/>
        <v>0</v>
      </c>
      <c r="AK3544" s="2">
        <f t="shared" si="562"/>
        <v>0</v>
      </c>
      <c r="AL3544" s="5">
        <f t="shared" si="563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1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56"/>
        <v>0</v>
      </c>
      <c r="AJ3545" s="2">
        <f t="shared" si="557"/>
        <v>0</v>
      </c>
      <c r="AK3545" s="2">
        <f t="shared" si="562"/>
        <v>0</v>
      </c>
      <c r="AL3545" s="5">
        <f t="shared" si="563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61"/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56"/>
        <v>0</v>
      </c>
      <c r="AJ3546" s="2">
        <f t="shared" si="557"/>
        <v>0</v>
      </c>
      <c r="AK3546" s="2">
        <f t="shared" si="562"/>
        <v>0</v>
      </c>
      <c r="AL3546" s="5">
        <f t="shared" si="563"/>
        <v>0</v>
      </c>
    </row>
    <row r="3547" spans="1:38" x14ac:dyDescent="0.2">
      <c r="A3547" s="2">
        <v>2026</v>
      </c>
      <c r="B3547" s="2">
        <v>3</v>
      </c>
      <c r="C3547" s="2" t="s">
        <v>3319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56"/>
        <v>0</v>
      </c>
      <c r="AJ3547" s="2">
        <f t="shared" si="557"/>
        <v>0</v>
      </c>
      <c r="AK3547" s="2">
        <f t="shared" si="562"/>
        <v>0</v>
      </c>
      <c r="AL3547" s="18">
        <f t="shared" ref="AL3547" si="564"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65">(T3548-W3548)/T3548</f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56"/>
        <v>0</v>
      </c>
      <c r="AJ3548" s="2">
        <f t="shared" si="557"/>
        <v>0</v>
      </c>
      <c r="AK3548" s="2">
        <f t="shared" ref="AK3548:AK3579" si="566">T3548-W3548</f>
        <v>0</v>
      </c>
      <c r="AL3548" s="5">
        <f t="shared" ref="AL3548:AL3579" si="567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65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56"/>
        <v>0</v>
      </c>
      <c r="AJ3549" s="2">
        <f t="shared" si="557"/>
        <v>0</v>
      </c>
      <c r="AK3549" s="2">
        <f t="shared" si="566"/>
        <v>0</v>
      </c>
      <c r="AL3549" s="5">
        <f t="shared" si="567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65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56"/>
        <v>0</v>
      </c>
      <c r="AJ3550" s="2">
        <f t="shared" si="557"/>
        <v>0</v>
      </c>
      <c r="AK3550" s="2">
        <f t="shared" si="566"/>
        <v>0</v>
      </c>
      <c r="AL3550" s="5">
        <f t="shared" si="567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65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56"/>
        <v>0</v>
      </c>
      <c r="AJ3551" s="2">
        <f t="shared" si="557"/>
        <v>0</v>
      </c>
      <c r="AK3551" s="2">
        <f t="shared" si="566"/>
        <v>0</v>
      </c>
      <c r="AL3551" s="5">
        <f t="shared" si="567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65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56"/>
        <v>0</v>
      </c>
      <c r="AJ3552" s="2">
        <f t="shared" si="557"/>
        <v>0</v>
      </c>
      <c r="AK3552" s="2">
        <f t="shared" si="566"/>
        <v>0</v>
      </c>
      <c r="AL3552" s="5">
        <f t="shared" si="567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65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56"/>
        <v>0</v>
      </c>
      <c r="AJ3553" s="2">
        <f t="shared" si="557"/>
        <v>0</v>
      </c>
      <c r="AK3553" s="2">
        <f t="shared" si="566"/>
        <v>0</v>
      </c>
      <c r="AL3553" s="5">
        <f t="shared" si="567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65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56"/>
        <v>0</v>
      </c>
      <c r="AJ3554" s="2">
        <f t="shared" si="557"/>
        <v>0</v>
      </c>
      <c r="AK3554" s="2">
        <f t="shared" si="566"/>
        <v>0</v>
      </c>
      <c r="AL3554" s="5">
        <f t="shared" si="567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65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56"/>
        <v>0</v>
      </c>
      <c r="AJ3555" s="2">
        <f t="shared" si="557"/>
        <v>0</v>
      </c>
      <c r="AK3555" s="2">
        <f t="shared" si="566"/>
        <v>0</v>
      </c>
      <c r="AL3555" s="5">
        <f t="shared" si="567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65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56"/>
        <v>0</v>
      </c>
      <c r="AJ3556" s="2">
        <f t="shared" si="557"/>
        <v>0</v>
      </c>
      <c r="AK3556" s="2">
        <f t="shared" si="566"/>
        <v>0</v>
      </c>
      <c r="AL3556" s="5">
        <f t="shared" si="567"/>
        <v>0</v>
      </c>
    </row>
    <row r="3557" spans="1:38" x14ac:dyDescent="0.2">
      <c r="A3557" s="2">
        <v>2026</v>
      </c>
      <c r="B3557" s="2">
        <v>3</v>
      </c>
      <c r="C3557" s="2" t="s">
        <v>3420</v>
      </c>
      <c r="D3557" s="2" t="s">
        <v>2143</v>
      </c>
      <c r="E3557" s="2" t="s">
        <v>108</v>
      </c>
      <c r="F3557" s="2" t="s">
        <v>39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65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56"/>
        <v>0</v>
      </c>
      <c r="AJ3557" s="2">
        <f t="shared" si="557"/>
        <v>0</v>
      </c>
      <c r="AK3557" s="2">
        <f t="shared" si="566"/>
        <v>0</v>
      </c>
      <c r="AL3557" s="5">
        <f t="shared" si="567"/>
        <v>0</v>
      </c>
    </row>
    <row r="3558" spans="1:38" x14ac:dyDescent="0.2">
      <c r="A3558" s="2">
        <v>2026</v>
      </c>
      <c r="B3558" s="2">
        <v>3</v>
      </c>
      <c r="C3558" s="2" t="s">
        <v>3420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65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56"/>
        <v>0</v>
      </c>
      <c r="AJ3558" s="2">
        <f t="shared" si="557"/>
        <v>0</v>
      </c>
      <c r="AK3558" s="2">
        <f t="shared" si="566"/>
        <v>0</v>
      </c>
      <c r="AL3558" s="5">
        <f t="shared" si="567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65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56"/>
        <v>0</v>
      </c>
      <c r="AJ3559" s="2">
        <f t="shared" si="557"/>
        <v>0</v>
      </c>
      <c r="AK3559" s="2">
        <f t="shared" si="566"/>
        <v>0</v>
      </c>
      <c r="AL3559" s="5">
        <f t="shared" si="567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65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56"/>
        <v>0</v>
      </c>
      <c r="AJ3560" s="2">
        <f t="shared" si="557"/>
        <v>0</v>
      </c>
      <c r="AK3560" s="2">
        <f t="shared" si="566"/>
        <v>0</v>
      </c>
      <c r="AL3560" s="5">
        <f t="shared" si="567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65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56"/>
        <v>0</v>
      </c>
      <c r="AJ3561" s="2">
        <f t="shared" si="557"/>
        <v>0</v>
      </c>
      <c r="AK3561" s="2">
        <f t="shared" si="566"/>
        <v>0</v>
      </c>
      <c r="AL3561" s="5">
        <f t="shared" si="567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3133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65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56"/>
        <v>0</v>
      </c>
      <c r="AJ3562" s="2">
        <f t="shared" si="557"/>
        <v>0</v>
      </c>
      <c r="AK3562" s="2">
        <f t="shared" si="566"/>
        <v>0</v>
      </c>
      <c r="AL3562" s="5">
        <f t="shared" si="567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65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56"/>
        <v>0</v>
      </c>
      <c r="AJ3563" s="2">
        <f t="shared" si="557"/>
        <v>0</v>
      </c>
      <c r="AK3563" s="2">
        <f t="shared" si="566"/>
        <v>0</v>
      </c>
      <c r="AL3563" s="5">
        <f t="shared" si="567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65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56"/>
        <v>0</v>
      </c>
      <c r="AJ3564" s="2">
        <f t="shared" si="557"/>
        <v>0</v>
      </c>
      <c r="AK3564" s="2">
        <f t="shared" si="566"/>
        <v>0</v>
      </c>
      <c r="AL3564" s="5">
        <f t="shared" si="567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65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56"/>
        <v>0</v>
      </c>
      <c r="AJ3565" s="2">
        <f t="shared" si="557"/>
        <v>0</v>
      </c>
      <c r="AK3565" s="2">
        <f t="shared" si="566"/>
        <v>0</v>
      </c>
      <c r="AL3565" s="5">
        <f t="shared" si="567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65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56"/>
        <v>0</v>
      </c>
      <c r="AG3566" s="2">
        <v>1.48</v>
      </c>
      <c r="AH3566" s="2">
        <v>1.48</v>
      </c>
      <c r="AJ3566" s="2">
        <f t="shared" si="557"/>
        <v>0</v>
      </c>
      <c r="AK3566" s="2">
        <f t="shared" si="566"/>
        <v>0</v>
      </c>
      <c r="AL3566" s="5">
        <f t="shared" si="567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65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56"/>
        <v>0</v>
      </c>
      <c r="AJ3567" s="2">
        <f t="shared" si="557"/>
        <v>0</v>
      </c>
      <c r="AK3567" s="2">
        <f t="shared" si="566"/>
        <v>0</v>
      </c>
      <c r="AL3567" s="5">
        <f t="shared" si="567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65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56"/>
        <v>0</v>
      </c>
      <c r="AJ3568" s="2">
        <f t="shared" si="557"/>
        <v>0</v>
      </c>
      <c r="AK3568" s="2">
        <f t="shared" si="566"/>
        <v>0</v>
      </c>
      <c r="AL3568" s="5">
        <f t="shared" si="567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F3569" s="2" t="s">
        <v>39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65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56"/>
        <v>0</v>
      </c>
      <c r="AJ3569" s="2">
        <f t="shared" si="557"/>
        <v>0</v>
      </c>
      <c r="AK3569" s="2">
        <f t="shared" si="566"/>
        <v>0</v>
      </c>
      <c r="AL3569" s="5">
        <f t="shared" si="567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65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56"/>
        <v>0</v>
      </c>
      <c r="AG3570" s="2">
        <v>1.48</v>
      </c>
      <c r="AH3570" s="2">
        <v>1.48</v>
      </c>
      <c r="AJ3570" s="2">
        <f t="shared" si="557"/>
        <v>0</v>
      </c>
      <c r="AK3570" s="2">
        <f t="shared" si="566"/>
        <v>0</v>
      </c>
      <c r="AL3570" s="5">
        <f t="shared" si="567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65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56"/>
        <v>0</v>
      </c>
      <c r="AJ3571" s="2">
        <f t="shared" si="557"/>
        <v>0</v>
      </c>
      <c r="AK3571" s="2">
        <f t="shared" si="566"/>
        <v>0</v>
      </c>
      <c r="AL3571" s="5">
        <f t="shared" si="567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65"/>
        <v>0</v>
      </c>
      <c r="Z3572" s="2" t="s">
        <v>3226</v>
      </c>
      <c r="AA3572" s="2" t="s">
        <v>96</v>
      </c>
      <c r="AB3572" s="2" t="s">
        <v>76</v>
      </c>
      <c r="AC3572" s="2" t="s">
        <v>93</v>
      </c>
      <c r="AF3572" s="2">
        <f t="shared" si="556"/>
        <v>0</v>
      </c>
      <c r="AJ3572" s="2">
        <f t="shared" si="557"/>
        <v>0</v>
      </c>
      <c r="AK3572" s="2">
        <f t="shared" si="566"/>
        <v>0</v>
      </c>
      <c r="AL3572" s="5">
        <f t="shared" si="567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65"/>
        <v>1</v>
      </c>
      <c r="Z3573" s="2" t="s">
        <v>119</v>
      </c>
      <c r="AA3573" s="2" t="s">
        <v>3379</v>
      </c>
      <c r="AF3573" s="2">
        <f t="shared" si="556"/>
        <v>0</v>
      </c>
      <c r="AJ3573" s="2">
        <f t="shared" si="557"/>
        <v>0</v>
      </c>
      <c r="AK3573" s="2">
        <f t="shared" si="566"/>
        <v>576</v>
      </c>
      <c r="AL3573" s="5">
        <f t="shared" si="567"/>
        <v>1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65"/>
        <v>1</v>
      </c>
      <c r="Z3574" s="2" t="s">
        <v>119</v>
      </c>
      <c r="AA3574" s="2" t="s">
        <v>3379</v>
      </c>
      <c r="AF3574" s="2">
        <f t="shared" si="556"/>
        <v>0</v>
      </c>
      <c r="AJ3574" s="2">
        <f t="shared" si="557"/>
        <v>0</v>
      </c>
      <c r="AK3574" s="2">
        <f t="shared" si="566"/>
        <v>200</v>
      </c>
      <c r="AL3574" s="5">
        <f t="shared" si="567"/>
        <v>1</v>
      </c>
    </row>
    <row r="3575" spans="1:38" x14ac:dyDescent="0.2">
      <c r="A3575" s="2">
        <v>2026</v>
      </c>
      <c r="B3575" s="2">
        <v>3</v>
      </c>
      <c r="C3575" s="2" t="s">
        <v>3420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65"/>
        <v>1</v>
      </c>
      <c r="Z3575" s="2" t="s">
        <v>104</v>
      </c>
      <c r="AA3575" s="2" t="s">
        <v>3421</v>
      </c>
      <c r="AB3575" s="2" t="s">
        <v>3422</v>
      </c>
      <c r="AC3575" s="2" t="s">
        <v>114</v>
      </c>
      <c r="AF3575" s="2">
        <f t="shared" si="556"/>
        <v>0</v>
      </c>
      <c r="AJ3575" s="2">
        <f t="shared" si="557"/>
        <v>0</v>
      </c>
      <c r="AK3575" s="2">
        <f t="shared" si="566"/>
        <v>180</v>
      </c>
      <c r="AL3575" s="5">
        <f t="shared" si="567"/>
        <v>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65"/>
        <v>1</v>
      </c>
      <c r="Z3576" s="2" t="s">
        <v>119</v>
      </c>
      <c r="AA3576" s="2" t="s">
        <v>3379</v>
      </c>
      <c r="AF3576" s="2">
        <f t="shared" si="556"/>
        <v>0</v>
      </c>
      <c r="AJ3576" s="2">
        <f t="shared" si="557"/>
        <v>0</v>
      </c>
      <c r="AK3576" s="2">
        <f t="shared" si="566"/>
        <v>180</v>
      </c>
      <c r="AL3576" s="5">
        <f t="shared" si="567"/>
        <v>1</v>
      </c>
    </row>
    <row r="3577" spans="1:38" x14ac:dyDescent="0.2">
      <c r="A3577" s="2">
        <v>2026</v>
      </c>
      <c r="B3577" s="2">
        <v>3</v>
      </c>
      <c r="C3577" s="2" t="s">
        <v>3505</v>
      </c>
      <c r="D3577" s="2" t="s">
        <v>2049</v>
      </c>
      <c r="E3577" s="2" t="s">
        <v>108</v>
      </c>
      <c r="F3577" s="2" t="s">
        <v>39</v>
      </c>
      <c r="G3577" s="2">
        <v>514960337</v>
      </c>
      <c r="H3577" s="2" t="s">
        <v>290</v>
      </c>
      <c r="I3577" s="2" t="s">
        <v>2779</v>
      </c>
      <c r="J3577" s="2" t="s">
        <v>2820</v>
      </c>
      <c r="K3577" s="2">
        <v>914732950</v>
      </c>
      <c r="L3577" s="2" t="s">
        <v>480</v>
      </c>
      <c r="M3577" s="2" t="s">
        <v>40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65"/>
        <v>1</v>
      </c>
      <c r="Z3577" s="2" t="s">
        <v>117</v>
      </c>
      <c r="AA3577" s="2" t="s">
        <v>118</v>
      </c>
      <c r="AB3577" s="2" t="s">
        <v>119</v>
      </c>
      <c r="AF3577" s="2">
        <f t="shared" si="556"/>
        <v>0</v>
      </c>
      <c r="AJ3577" s="2">
        <f t="shared" si="557"/>
        <v>0</v>
      </c>
      <c r="AK3577" s="2">
        <f t="shared" si="566"/>
        <v>67.2</v>
      </c>
      <c r="AL3577" s="5">
        <f t="shared" si="567"/>
        <v>1</v>
      </c>
    </row>
    <row r="3578" spans="1:38" x14ac:dyDescent="0.2">
      <c r="A3578" s="2">
        <v>2026</v>
      </c>
      <c r="B3578" s="2">
        <v>4</v>
      </c>
      <c r="C3578" s="2" t="s">
        <v>3318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65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56"/>
        <v>0</v>
      </c>
      <c r="AG3578" s="2">
        <v>6.55</v>
      </c>
      <c r="AJ3578" s="2">
        <f t="shared" si="557"/>
        <v>0</v>
      </c>
      <c r="AK3578" s="2">
        <f t="shared" si="566"/>
        <v>12.439999999999998</v>
      </c>
      <c r="AL3578" s="5">
        <f t="shared" si="567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65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56"/>
        <v>0</v>
      </c>
      <c r="AG3579" s="2">
        <v>1244.2444</v>
      </c>
      <c r="AJ3579" s="2">
        <f t="shared" si="557"/>
        <v>0</v>
      </c>
      <c r="AK3579" s="2">
        <f t="shared" si="566"/>
        <v>445.75559999999996</v>
      </c>
      <c r="AL3579" s="5">
        <f t="shared" si="567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68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56"/>
        <v>0</v>
      </c>
      <c r="AG3580" s="2">
        <v>136.38999999999999</v>
      </c>
      <c r="AH3580" s="2">
        <v>282.11399999999998</v>
      </c>
      <c r="AJ3580" s="2">
        <f t="shared" si="557"/>
        <v>0</v>
      </c>
      <c r="AK3580" s="2">
        <f t="shared" ref="AK3580:AK3612" si="569">T3580-W3580</f>
        <v>117.51000000000002</v>
      </c>
      <c r="AL3580" s="5">
        <f t="shared" ref="AL3580:AL3611" si="570">(T3580-W3580)/T3580</f>
        <v>0.46282000787711702</v>
      </c>
    </row>
    <row r="3581" spans="1:38" x14ac:dyDescent="0.2">
      <c r="A3581" s="2">
        <v>2026</v>
      </c>
      <c r="B3581" s="2">
        <v>4</v>
      </c>
      <c r="C3581" s="2" t="s">
        <v>3505</v>
      </c>
      <c r="D3581" s="2" t="s">
        <v>2049</v>
      </c>
      <c r="E3581" s="2" t="s">
        <v>108</v>
      </c>
      <c r="F3581" s="2" t="s">
        <v>39</v>
      </c>
      <c r="G3581" s="2">
        <v>514960337</v>
      </c>
      <c r="H3581" s="2" t="s">
        <v>290</v>
      </c>
      <c r="I3581" s="2" t="s">
        <v>2779</v>
      </c>
      <c r="J3581" s="2" t="s">
        <v>2820</v>
      </c>
      <c r="K3581" s="2">
        <v>914732950</v>
      </c>
      <c r="L3581" s="2" t="s">
        <v>480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68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56"/>
        <v>0</v>
      </c>
      <c r="AG3581" s="2">
        <v>7.9024999999999999</v>
      </c>
      <c r="AJ3581" s="2">
        <f t="shared" si="557"/>
        <v>0</v>
      </c>
      <c r="AK3581" s="2">
        <f t="shared" si="569"/>
        <v>5.43</v>
      </c>
      <c r="AL3581" s="5">
        <f t="shared" si="570"/>
        <v>0.14659827213822893</v>
      </c>
    </row>
    <row r="3582" spans="1:38" x14ac:dyDescent="0.2">
      <c r="A3582" s="2">
        <v>2026</v>
      </c>
      <c r="B3582" s="2">
        <v>4</v>
      </c>
      <c r="C3582" s="2" t="s">
        <v>3450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68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56"/>
        <v>0</v>
      </c>
      <c r="AG3582" s="2">
        <v>11.246700000000001</v>
      </c>
      <c r="AJ3582" s="2">
        <f t="shared" si="557"/>
        <v>0</v>
      </c>
      <c r="AK3582" s="2">
        <f t="shared" si="569"/>
        <v>9.1433</v>
      </c>
      <c r="AL3582" s="5">
        <f t="shared" si="570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36.2258*S3583</f>
        <v>72.451599999999999</v>
      </c>
      <c r="X3583" s="5">
        <f t="shared" si="568"/>
        <v>0.53905331467107775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56"/>
        <v>0</v>
      </c>
      <c r="AG3583" s="2">
        <v>35.931699999999999</v>
      </c>
      <c r="AJ3583" s="2">
        <f t="shared" si="557"/>
        <v>0</v>
      </c>
      <c r="AK3583" s="2">
        <f t="shared" si="569"/>
        <v>84.728400000000008</v>
      </c>
      <c r="AL3583" s="5">
        <f t="shared" si="570"/>
        <v>0.53905331467107775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68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56"/>
        <v>0</v>
      </c>
      <c r="AG3584" s="2">
        <v>5.33</v>
      </c>
      <c r="AJ3584" s="2">
        <f t="shared" si="557"/>
        <v>0</v>
      </c>
      <c r="AK3584" s="2">
        <f t="shared" si="569"/>
        <v>17.91</v>
      </c>
      <c r="AL3584" s="5">
        <f t="shared" si="570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68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56"/>
        <v>0</v>
      </c>
      <c r="AG3585" s="2">
        <f>20.48+0.33</f>
        <v>20.81</v>
      </c>
      <c r="AJ3585" s="2">
        <f t="shared" si="557"/>
        <v>0</v>
      </c>
      <c r="AK3585" s="2">
        <f t="shared" si="569"/>
        <v>22.2</v>
      </c>
      <c r="AL3585" s="5">
        <f t="shared" si="570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68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71">AJ3586</f>
        <v>0</v>
      </c>
      <c r="AG3586" s="2">
        <f>63.89+1.02</f>
        <v>64.91</v>
      </c>
      <c r="AJ3586" s="2">
        <f t="shared" ref="AJ3586:AJ3649" si="572">AI3586*T3586</f>
        <v>0</v>
      </c>
      <c r="AK3586" s="2">
        <f t="shared" si="569"/>
        <v>69.259999999999991</v>
      </c>
      <c r="AL3586" s="5">
        <f t="shared" si="570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68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71"/>
        <v>0</v>
      </c>
      <c r="AG3587" s="2">
        <f>W3587</f>
        <v>100</v>
      </c>
      <c r="AJ3587" s="2">
        <f t="shared" si="572"/>
        <v>0</v>
      </c>
      <c r="AK3587" s="2">
        <f t="shared" si="569"/>
        <v>100</v>
      </c>
      <c r="AL3587" s="5">
        <f t="shared" si="570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3122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68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1"/>
        <v>0</v>
      </c>
      <c r="AG3588" s="2">
        <v>183.26</v>
      </c>
      <c r="AJ3588" s="2">
        <f t="shared" si="572"/>
        <v>0</v>
      </c>
      <c r="AK3588" s="2">
        <f t="shared" si="569"/>
        <v>151.26999999999998</v>
      </c>
      <c r="AL3588" s="5">
        <f t="shared" si="570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68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1"/>
        <v>0</v>
      </c>
      <c r="AG3589" s="2">
        <v>22.2</v>
      </c>
      <c r="AJ3589" s="2">
        <f t="shared" si="572"/>
        <v>0</v>
      </c>
      <c r="AK3589" s="2">
        <f t="shared" si="569"/>
        <v>51.816000000000003</v>
      </c>
      <c r="AL3589" s="5">
        <f t="shared" si="570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68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1"/>
        <v>0</v>
      </c>
      <c r="AG3590" s="2">
        <v>22.2</v>
      </c>
      <c r="AJ3590" s="2">
        <f t="shared" si="572"/>
        <v>0</v>
      </c>
      <c r="AK3590" s="2">
        <f t="shared" si="569"/>
        <v>25.908000000000001</v>
      </c>
      <c r="AL3590" s="5">
        <f t="shared" si="570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68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1"/>
        <v>0</v>
      </c>
      <c r="AG3591" s="2">
        <f>249.84+4</f>
        <v>253.84</v>
      </c>
      <c r="AJ3591" s="2">
        <f t="shared" si="572"/>
        <v>0</v>
      </c>
      <c r="AK3591" s="2">
        <f t="shared" si="569"/>
        <v>270.81999999999994</v>
      </c>
      <c r="AL3591" s="5">
        <f t="shared" si="570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68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71"/>
        <v>0</v>
      </c>
      <c r="AG3592" s="2">
        <v>30.22</v>
      </c>
      <c r="AJ3592" s="2">
        <f t="shared" si="572"/>
        <v>0</v>
      </c>
      <c r="AK3592" s="2">
        <f t="shared" si="569"/>
        <v>32.85</v>
      </c>
      <c r="AL3592" s="5">
        <f t="shared" si="570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68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1"/>
        <v>0</v>
      </c>
      <c r="AG3593" s="2">
        <v>342.22</v>
      </c>
      <c r="AJ3593" s="2">
        <f t="shared" si="572"/>
        <v>0</v>
      </c>
      <c r="AK3593" s="2">
        <f t="shared" si="569"/>
        <v>354.09659999999997</v>
      </c>
      <c r="AL3593" s="5">
        <f t="shared" si="570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68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1"/>
        <v>0</v>
      </c>
      <c r="AG3594" s="2">
        <v>342.22</v>
      </c>
      <c r="AJ3594" s="2">
        <f t="shared" si="572"/>
        <v>0</v>
      </c>
      <c r="AK3594" s="2">
        <f t="shared" si="569"/>
        <v>354.09659999999997</v>
      </c>
      <c r="AL3594" s="5">
        <f t="shared" si="570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68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1"/>
        <v>0</v>
      </c>
      <c r="AG3595" s="2">
        <v>342.22</v>
      </c>
      <c r="AJ3595" s="2">
        <f t="shared" si="572"/>
        <v>0</v>
      </c>
      <c r="AK3595" s="2">
        <f t="shared" si="569"/>
        <v>354.09659999999997</v>
      </c>
      <c r="AL3595" s="5">
        <f t="shared" si="570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68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1"/>
        <v>0</v>
      </c>
      <c r="AJ3596" s="2">
        <f t="shared" si="572"/>
        <v>0</v>
      </c>
      <c r="AK3596" s="2">
        <f t="shared" si="569"/>
        <v>352.72999999999996</v>
      </c>
      <c r="AL3596" s="5">
        <f t="shared" si="570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68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1"/>
        <v>0</v>
      </c>
      <c r="AG3597" s="2">
        <v>346.57</v>
      </c>
      <c r="AJ3597" s="2">
        <f t="shared" si="572"/>
        <v>0</v>
      </c>
      <c r="AK3597" s="2">
        <f t="shared" si="569"/>
        <v>352.72999999999996</v>
      </c>
      <c r="AL3597" s="5">
        <f t="shared" si="570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68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1"/>
        <v>0</v>
      </c>
      <c r="AG3598" s="2">
        <v>346.57</v>
      </c>
      <c r="AJ3598" s="2">
        <f t="shared" si="572"/>
        <v>0</v>
      </c>
      <c r="AK3598" s="2">
        <f t="shared" si="569"/>
        <v>352.72999999999996</v>
      </c>
      <c r="AL3598" s="5">
        <f t="shared" si="570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68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1"/>
        <v>0</v>
      </c>
      <c r="AJ3599" s="2">
        <f t="shared" si="572"/>
        <v>0</v>
      </c>
      <c r="AK3599" s="2">
        <f t="shared" si="569"/>
        <v>352.72999999999996</v>
      </c>
      <c r="AL3599" s="5">
        <f t="shared" si="570"/>
        <v>0.50440440440440437</v>
      </c>
    </row>
    <row r="3600" spans="1:38" x14ac:dyDescent="0.2">
      <c r="A3600" s="2">
        <v>2026</v>
      </c>
      <c r="B3600" s="2">
        <v>4</v>
      </c>
      <c r="C3600" s="2" t="s">
        <v>3318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68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71"/>
        <v>0</v>
      </c>
      <c r="AJ3600" s="2">
        <f t="shared" si="572"/>
        <v>0</v>
      </c>
      <c r="AK3600" s="2">
        <f t="shared" si="569"/>
        <v>229.38000000000005</v>
      </c>
      <c r="AL3600" s="5">
        <f t="shared" si="570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68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71"/>
        <v>0</v>
      </c>
      <c r="AG3601" s="2">
        <f>167.92</f>
        <v>167.92</v>
      </c>
      <c r="AJ3601" s="2">
        <f t="shared" si="572"/>
        <v>0</v>
      </c>
      <c r="AK3601" s="2">
        <f t="shared" si="569"/>
        <v>188.89000000000001</v>
      </c>
      <c r="AL3601" s="5">
        <f t="shared" si="570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68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71"/>
        <v>0</v>
      </c>
      <c r="AG3602" s="2">
        <f>W3602</f>
        <v>36.800000000000004</v>
      </c>
      <c r="AJ3602" s="2">
        <f t="shared" si="572"/>
        <v>0</v>
      </c>
      <c r="AK3602" s="2">
        <f t="shared" si="569"/>
        <v>55.199999999999996</v>
      </c>
      <c r="AL3602" s="5">
        <f t="shared" si="570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237.8466</v>
      </c>
      <c r="X3603" s="5">
        <f t="shared" si="568"/>
        <v>0.51342702835399534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1"/>
        <v>0</v>
      </c>
      <c r="AG3603" s="2">
        <f>231.78+0.96</f>
        <v>232.74</v>
      </c>
      <c r="AJ3603" s="2">
        <f t="shared" si="572"/>
        <v>0</v>
      </c>
      <c r="AK3603" s="2">
        <f t="shared" si="569"/>
        <v>250.9734</v>
      </c>
      <c r="AL3603" s="5">
        <f t="shared" si="570"/>
        <v>0.51342702835399534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68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1"/>
        <v>0</v>
      </c>
      <c r="AG3604" s="2">
        <v>565.755</v>
      </c>
      <c r="AJ3604" s="2">
        <f t="shared" si="572"/>
        <v>0</v>
      </c>
      <c r="AK3604" s="2">
        <f t="shared" si="569"/>
        <v>1279.1445000000001</v>
      </c>
      <c r="AL3604" s="5">
        <f t="shared" si="570"/>
        <v>0.69334083148138115</v>
      </c>
    </row>
    <row r="3605" spans="1:38" x14ac:dyDescent="0.2">
      <c r="A3605" s="2">
        <v>2026</v>
      </c>
      <c r="B3605" s="2">
        <v>4</v>
      </c>
      <c r="C3605" s="2" t="s">
        <v>3443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68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1"/>
        <v>0</v>
      </c>
      <c r="AG3605" s="2">
        <v>255.65</v>
      </c>
      <c r="AJ3605" s="2">
        <f t="shared" si="572"/>
        <v>0</v>
      </c>
      <c r="AK3605" s="2">
        <f t="shared" si="569"/>
        <v>514.59</v>
      </c>
      <c r="AL3605" s="5">
        <f t="shared" si="570"/>
        <v>0.66809046530951399</v>
      </c>
    </row>
    <row r="3606" spans="1:38" x14ac:dyDescent="0.2">
      <c r="A3606" s="2">
        <v>2026</v>
      </c>
      <c r="B3606" s="2">
        <v>4</v>
      </c>
      <c r="C3606" s="2" t="s">
        <v>3450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68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1"/>
        <v>0</v>
      </c>
      <c r="AG3606" s="2">
        <v>102.88249999999999</v>
      </c>
      <c r="AJ3606" s="2">
        <f t="shared" si="572"/>
        <v>0</v>
      </c>
      <c r="AK3606" s="2">
        <f t="shared" si="569"/>
        <v>112.075</v>
      </c>
      <c r="AL3606" s="5">
        <f t="shared" si="570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68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1"/>
        <v>0</v>
      </c>
      <c r="AG3607" s="2">
        <v>42.436799999999998</v>
      </c>
      <c r="AJ3607" s="2">
        <f t="shared" si="572"/>
        <v>0</v>
      </c>
      <c r="AK3607" s="2">
        <f t="shared" si="569"/>
        <v>46.603200000000008</v>
      </c>
      <c r="AL3607" s="5">
        <f t="shared" si="570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68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1"/>
        <v>0</v>
      </c>
      <c r="AG3608" s="2">
        <v>42.436799999999998</v>
      </c>
      <c r="AJ3608" s="2">
        <f t="shared" si="572"/>
        <v>0</v>
      </c>
      <c r="AK3608" s="2">
        <f t="shared" si="569"/>
        <v>11.613199999999999</v>
      </c>
      <c r="AL3608" s="5">
        <f t="shared" si="570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68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1"/>
        <v>0</v>
      </c>
      <c r="AG3609" s="2">
        <f>15.49+0.25</f>
        <v>15.74</v>
      </c>
      <c r="AJ3609" s="2">
        <f t="shared" si="572"/>
        <v>0</v>
      </c>
      <c r="AK3609" s="2">
        <f t="shared" si="569"/>
        <v>16.79</v>
      </c>
      <c r="AL3609" s="5">
        <f t="shared" si="570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68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1"/>
        <v>0</v>
      </c>
      <c r="AG3610" s="2">
        <v>21.32</v>
      </c>
      <c r="AJ3610" s="2">
        <f t="shared" si="572"/>
        <v>0</v>
      </c>
      <c r="AK3610" s="2">
        <f t="shared" si="569"/>
        <v>25.270000000000003</v>
      </c>
      <c r="AL3610" s="5">
        <f t="shared" si="570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68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1"/>
        <v>0</v>
      </c>
      <c r="AG3611" s="2">
        <v>19.5167</v>
      </c>
      <c r="AJ3611" s="2">
        <f t="shared" si="572"/>
        <v>0</v>
      </c>
      <c r="AK3611" s="2">
        <f t="shared" si="569"/>
        <v>21.823300000000003</v>
      </c>
      <c r="AL3611" s="5">
        <f t="shared" si="570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W3612" s="2">
        <v>37.85</v>
      </c>
      <c r="X3612" s="18">
        <f>SIGN(T3612)*((ABS(T3612)-W3612)/ABS(T3612))</f>
        <v>-0.54648933620896234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71"/>
        <v>0</v>
      </c>
      <c r="AJ3612" s="2">
        <f t="shared" si="572"/>
        <v>0</v>
      </c>
      <c r="AK3612" s="2">
        <f t="shared" si="569"/>
        <v>-121.31</v>
      </c>
      <c r="AL3612" s="18">
        <f t="shared" ref="AL3612" si="573">SIGN(T3612)*((ABS(T3612)-W3612)/ABS(T3612))</f>
        <v>-0.54648933620896234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74">(T3613-W3613)/T3613</f>
        <v>1</v>
      </c>
      <c r="Z3613" s="2" t="s">
        <v>117</v>
      </c>
      <c r="AF3613" s="2">
        <f t="shared" si="571"/>
        <v>0</v>
      </c>
      <c r="AJ3613" s="2">
        <f t="shared" si="572"/>
        <v>0</v>
      </c>
      <c r="AK3613" s="2">
        <f t="shared" ref="AK3612:AK3636" si="575">T3613-W3613</f>
        <v>140.24</v>
      </c>
      <c r="AL3613" s="5">
        <f t="shared" ref="AL3612:AL3635" si="576">(T3613-W3613)/T3613</f>
        <v>1</v>
      </c>
    </row>
    <row r="3614" spans="1:38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74"/>
        <v>1</v>
      </c>
      <c r="Z3614" s="2" t="s">
        <v>117</v>
      </c>
      <c r="AF3614" s="2">
        <f t="shared" si="571"/>
        <v>0</v>
      </c>
      <c r="AJ3614" s="2">
        <f t="shared" si="572"/>
        <v>0</v>
      </c>
      <c r="AK3614" s="2">
        <f t="shared" si="575"/>
        <v>1031.94</v>
      </c>
      <c r="AL3614" s="5">
        <f t="shared" si="576"/>
        <v>1</v>
      </c>
    </row>
    <row r="3615" spans="1:38" x14ac:dyDescent="0.2">
      <c r="A3615" s="2">
        <v>2026</v>
      </c>
      <c r="B3615" s="2">
        <v>4</v>
      </c>
      <c r="C3615" s="2" t="s">
        <v>3450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W3615" s="2">
        <v>566.66999999999996</v>
      </c>
      <c r="X3615" s="5">
        <f t="shared" si="574"/>
        <v>0.64465862345740954</v>
      </c>
      <c r="Z3615" s="2" t="s">
        <v>117</v>
      </c>
      <c r="AA3615" s="2" t="s">
        <v>118</v>
      </c>
      <c r="AB3615" s="2" t="s">
        <v>119</v>
      </c>
      <c r="AC3615" s="2" t="s">
        <v>114</v>
      </c>
      <c r="AF3615" s="2">
        <f t="shared" si="571"/>
        <v>0</v>
      </c>
      <c r="AJ3615" s="2">
        <f t="shared" si="572"/>
        <v>0</v>
      </c>
      <c r="AK3615" s="2">
        <f t="shared" si="575"/>
        <v>1028.0500000000002</v>
      </c>
      <c r="AL3615" s="5">
        <f t="shared" si="576"/>
        <v>0.64465862345740954</v>
      </c>
    </row>
    <row r="3616" spans="1:38" x14ac:dyDescent="0.2">
      <c r="A3616" s="2">
        <v>2026</v>
      </c>
      <c r="B3616" s="2">
        <v>4</v>
      </c>
      <c r="C3616" s="2" t="s">
        <v>3318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74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1"/>
        <v>0</v>
      </c>
      <c r="AJ3616" s="2">
        <f t="shared" si="572"/>
        <v>0</v>
      </c>
      <c r="AK3616" s="2">
        <f t="shared" si="575"/>
        <v>5320.6</v>
      </c>
      <c r="AL3616" s="5">
        <f t="shared" si="576"/>
        <v>0.33274546591619764</v>
      </c>
    </row>
    <row r="3617" spans="1:38" x14ac:dyDescent="0.2">
      <c r="A3617" s="2">
        <v>2026</v>
      </c>
      <c r="B3617" s="2">
        <v>4</v>
      </c>
      <c r="D3617" s="2" t="s">
        <v>3258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3259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74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71"/>
        <v>0</v>
      </c>
      <c r="AJ3617" s="2">
        <f t="shared" si="572"/>
        <v>0</v>
      </c>
      <c r="AK3617" s="2">
        <f t="shared" si="575"/>
        <v>4004.8500000000004</v>
      </c>
      <c r="AL3617" s="5">
        <f t="shared" si="576"/>
        <v>0.26716811207471652</v>
      </c>
    </row>
    <row r="3618" spans="1:38" x14ac:dyDescent="0.2">
      <c r="A3618" s="2">
        <v>2026</v>
      </c>
      <c r="B3618" s="2">
        <v>4</v>
      </c>
      <c r="C3618" s="2" t="s">
        <v>3318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74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1"/>
        <v>0</v>
      </c>
      <c r="AG3618" s="2">
        <f>6193.4+275.33</f>
        <v>6468.73</v>
      </c>
      <c r="AJ3618" s="2">
        <f t="shared" si="572"/>
        <v>0</v>
      </c>
      <c r="AK3618" s="2">
        <f t="shared" si="575"/>
        <v>2461.2700000000004</v>
      </c>
      <c r="AL3618" s="5">
        <f t="shared" si="576"/>
        <v>0.27561814109742444</v>
      </c>
    </row>
    <row r="3619" spans="1:38" x14ac:dyDescent="0.2">
      <c r="A3619" s="2">
        <v>2026</v>
      </c>
      <c r="B3619" s="2">
        <v>4</v>
      </c>
      <c r="C3619" s="2" t="s">
        <v>3450</v>
      </c>
      <c r="D3619" s="2" t="s">
        <v>3457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74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71"/>
        <v>0</v>
      </c>
      <c r="AG3619" s="2">
        <v>6468.73</v>
      </c>
      <c r="AJ3619" s="2">
        <f t="shared" si="572"/>
        <v>0</v>
      </c>
      <c r="AK3619" s="2">
        <f t="shared" si="575"/>
        <v>2461.2700000000004</v>
      </c>
      <c r="AL3619" s="5">
        <f t="shared" si="576"/>
        <v>0.27561814109742444</v>
      </c>
    </row>
    <row r="3620" spans="1:38" x14ac:dyDescent="0.2">
      <c r="A3620" s="2">
        <v>2026</v>
      </c>
      <c r="B3620" s="2">
        <v>4</v>
      </c>
      <c r="C3620" s="2" t="s">
        <v>3318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74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1"/>
        <v>0</v>
      </c>
      <c r="AG3620" s="2">
        <f>4893.23+171</f>
        <v>5064.2299999999996</v>
      </c>
      <c r="AJ3620" s="2">
        <f t="shared" si="572"/>
        <v>0</v>
      </c>
      <c r="AK3620" s="2">
        <f t="shared" si="575"/>
        <v>2275.7700000000004</v>
      </c>
      <c r="AL3620" s="5">
        <f t="shared" si="576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74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71"/>
        <v>0</v>
      </c>
      <c r="AG3621" s="2">
        <f>4893.23+171</f>
        <v>5064.2299999999996</v>
      </c>
      <c r="AJ3621" s="2">
        <f t="shared" si="572"/>
        <v>0</v>
      </c>
      <c r="AK3621" s="2">
        <f t="shared" si="575"/>
        <v>1925.7700000000004</v>
      </c>
      <c r="AL3621" s="5">
        <f t="shared" si="576"/>
        <v>0.27550357653791135</v>
      </c>
    </row>
    <row r="3622" spans="1:38" x14ac:dyDescent="0.2">
      <c r="A3622" s="2">
        <v>2026</v>
      </c>
      <c r="B3622" s="2">
        <v>4</v>
      </c>
      <c r="C3622" s="2" t="s">
        <v>3443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74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71"/>
        <v>0</v>
      </c>
      <c r="AG3622" s="2">
        <v>10.15</v>
      </c>
      <c r="AJ3622" s="2">
        <f t="shared" si="572"/>
        <v>0</v>
      </c>
      <c r="AK3622" s="2">
        <f t="shared" si="575"/>
        <v>58.71</v>
      </c>
      <c r="AL3622" s="5">
        <f t="shared" si="576"/>
        <v>0.8525994772001162</v>
      </c>
    </row>
    <row r="3623" spans="1:38" x14ac:dyDescent="0.2">
      <c r="A3623" s="2">
        <v>2026</v>
      </c>
      <c r="B3623" s="2">
        <v>4</v>
      </c>
      <c r="C3623" s="2" t="s">
        <v>3445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M3623" s="2" t="s">
        <v>40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W3623" s="2">
        <f>(3406.56+219.35)*S3623</f>
        <v>7251.82</v>
      </c>
      <c r="X3623" s="5">
        <f t="shared" si="574"/>
        <v>0.2130417797069995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71"/>
        <v>0</v>
      </c>
      <c r="AJ3623" s="2">
        <f t="shared" si="572"/>
        <v>0</v>
      </c>
      <c r="AK3623" s="2">
        <f t="shared" si="575"/>
        <v>1963.1800000000003</v>
      </c>
      <c r="AL3623" s="5">
        <f t="shared" si="576"/>
        <v>0.2130417797069995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74"/>
        <v>0.50380622837370237</v>
      </c>
      <c r="Z3624" s="2" t="s">
        <v>3226</v>
      </c>
      <c r="AA3624" s="2" t="s">
        <v>71</v>
      </c>
      <c r="AB3624" s="2" t="s">
        <v>119</v>
      </c>
      <c r="AC3624" s="2" t="s">
        <v>119</v>
      </c>
      <c r="AF3624" s="2">
        <f t="shared" si="571"/>
        <v>0</v>
      </c>
      <c r="AG3624" s="2">
        <v>14.34</v>
      </c>
      <c r="AJ3624" s="2">
        <f t="shared" si="572"/>
        <v>0</v>
      </c>
      <c r="AK3624" s="2">
        <f t="shared" si="575"/>
        <v>29.119999999999997</v>
      </c>
      <c r="AL3624" s="5">
        <f t="shared" si="576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74"/>
        <v>0.10089285714285706</v>
      </c>
      <c r="Z3625" s="2" t="s">
        <v>3226</v>
      </c>
      <c r="AA3625" s="2" t="s">
        <v>155</v>
      </c>
      <c r="AB3625" s="2" t="s">
        <v>3402</v>
      </c>
      <c r="AC3625" s="2" t="s">
        <v>1327</v>
      </c>
      <c r="AF3625" s="2">
        <f t="shared" si="571"/>
        <v>0</v>
      </c>
      <c r="AJ3625" s="2">
        <f t="shared" si="572"/>
        <v>0</v>
      </c>
      <c r="AK3625" s="2">
        <f t="shared" si="575"/>
        <v>1.129999999999999</v>
      </c>
      <c r="AL3625" s="5">
        <f t="shared" si="576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74"/>
        <v>0.10078828828828816</v>
      </c>
      <c r="Z3626" s="2" t="s">
        <v>3226</v>
      </c>
      <c r="AA3626" s="2" t="s">
        <v>578</v>
      </c>
      <c r="AB3626" s="2" t="s">
        <v>119</v>
      </c>
      <c r="AC3626" s="2" t="s">
        <v>1327</v>
      </c>
      <c r="AF3626" s="2">
        <f t="shared" si="571"/>
        <v>0</v>
      </c>
      <c r="AJ3626" s="2">
        <f t="shared" si="572"/>
        <v>0</v>
      </c>
      <c r="AK3626" s="2">
        <f t="shared" si="575"/>
        <v>8.9499999999999886</v>
      </c>
      <c r="AL3626" s="5">
        <f t="shared" si="576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74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1"/>
        <v>0</v>
      </c>
      <c r="AG3627" s="2">
        <v>1458</v>
      </c>
      <c r="AJ3627" s="2">
        <f t="shared" si="572"/>
        <v>0</v>
      </c>
      <c r="AK3627" s="2">
        <f t="shared" si="575"/>
        <v>532</v>
      </c>
      <c r="AL3627" s="5">
        <f t="shared" si="576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74"/>
        <v>1</v>
      </c>
      <c r="Z3628" s="2" t="s">
        <v>104</v>
      </c>
      <c r="AF3628" s="2">
        <f t="shared" si="571"/>
        <v>0</v>
      </c>
      <c r="AJ3628" s="2">
        <f t="shared" si="572"/>
        <v>0</v>
      </c>
      <c r="AK3628" s="2">
        <f t="shared" si="575"/>
        <v>1990</v>
      </c>
      <c r="AL3628" s="5">
        <f t="shared" si="576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74"/>
        <v>1</v>
      </c>
      <c r="Z3629" s="2" t="s">
        <v>104</v>
      </c>
      <c r="AF3629" s="2">
        <f t="shared" si="571"/>
        <v>0</v>
      </c>
      <c r="AJ3629" s="2">
        <f t="shared" si="572"/>
        <v>0</v>
      </c>
      <c r="AK3629" s="2">
        <f t="shared" si="575"/>
        <v>1791</v>
      </c>
      <c r="AL3629" s="5">
        <f t="shared" si="576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74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1"/>
        <v>0</v>
      </c>
      <c r="AG3630" s="2">
        <v>1458</v>
      </c>
      <c r="AJ3630" s="2">
        <f t="shared" si="572"/>
        <v>0</v>
      </c>
      <c r="AK3630" s="2">
        <f t="shared" si="575"/>
        <v>532</v>
      </c>
      <c r="AL3630" s="5">
        <f t="shared" si="576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74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1"/>
        <v>0</v>
      </c>
      <c r="AG3631" s="2">
        <v>1578</v>
      </c>
      <c r="AJ3631" s="2">
        <f t="shared" si="572"/>
        <v>0</v>
      </c>
      <c r="AK3631" s="2">
        <f t="shared" si="575"/>
        <v>412</v>
      </c>
      <c r="AL3631" s="5">
        <f t="shared" si="576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74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71"/>
        <v>0</v>
      </c>
      <c r="AJ3632" s="2">
        <f t="shared" si="572"/>
        <v>0</v>
      </c>
      <c r="AK3632" s="2">
        <f t="shared" si="575"/>
        <v>357</v>
      </c>
      <c r="AL3632" s="5">
        <f t="shared" si="576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40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W3633" s="2">
        <v>212.5</v>
      </c>
      <c r="X3633" s="5">
        <f t="shared" si="574"/>
        <v>0.15</v>
      </c>
      <c r="Z3633" s="2" t="s">
        <v>117</v>
      </c>
      <c r="AA3633" s="2" t="s">
        <v>181</v>
      </c>
      <c r="AB3633" s="2" t="s">
        <v>3380</v>
      </c>
      <c r="AC3633" s="2" t="s">
        <v>1327</v>
      </c>
      <c r="AF3633" s="2">
        <f t="shared" si="571"/>
        <v>0</v>
      </c>
      <c r="AJ3633" s="2">
        <f t="shared" si="572"/>
        <v>0</v>
      </c>
      <c r="AK3633" s="2">
        <f t="shared" si="575"/>
        <v>37.5</v>
      </c>
      <c r="AL3633" s="5">
        <f t="shared" si="576"/>
        <v>0.15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74"/>
        <v>0.22680412371134015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1"/>
        <v>0</v>
      </c>
      <c r="AG3634" s="2">
        <v>299.25</v>
      </c>
      <c r="AJ3634" s="2">
        <f t="shared" si="572"/>
        <v>0</v>
      </c>
      <c r="AK3634" s="2">
        <f t="shared" si="575"/>
        <v>87.779999999999973</v>
      </c>
      <c r="AL3634" s="5">
        <f t="shared" si="576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74"/>
        <v>0.38144329896907209</v>
      </c>
      <c r="Z3635" s="2" t="s">
        <v>3226</v>
      </c>
      <c r="AA3635" s="2" t="s">
        <v>71</v>
      </c>
      <c r="AB3635" s="2" t="s">
        <v>119</v>
      </c>
      <c r="AC3635" s="2" t="s">
        <v>119</v>
      </c>
      <c r="AF3635" s="2">
        <f t="shared" si="571"/>
        <v>0</v>
      </c>
      <c r="AG3635" s="2">
        <v>77.400000000000006</v>
      </c>
      <c r="AJ3635" s="2">
        <f t="shared" si="572"/>
        <v>0</v>
      </c>
      <c r="AK3635" s="2">
        <f t="shared" si="575"/>
        <v>47.72999999999999</v>
      </c>
      <c r="AL3635" s="5">
        <f t="shared" si="576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3226</v>
      </c>
      <c r="AA3636" s="2" t="s">
        <v>46</v>
      </c>
      <c r="AB3636" s="2" t="s">
        <v>60</v>
      </c>
      <c r="AC3636" s="2" t="s">
        <v>3331</v>
      </c>
      <c r="AF3636" s="2">
        <f t="shared" si="571"/>
        <v>0</v>
      </c>
      <c r="AJ3636" s="2">
        <f t="shared" si="572"/>
        <v>0</v>
      </c>
      <c r="AK3636" s="2">
        <f t="shared" si="575"/>
        <v>-345</v>
      </c>
      <c r="AL3636" s="18">
        <f t="shared" ref="AL3636" si="577"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3226</v>
      </c>
      <c r="AA3637" s="2" t="s">
        <v>46</v>
      </c>
      <c r="AB3637" s="2" t="s">
        <v>60</v>
      </c>
      <c r="AC3637" s="2" t="s">
        <v>3331</v>
      </c>
      <c r="AF3637" s="2">
        <f t="shared" si="571"/>
        <v>0</v>
      </c>
      <c r="AJ3637" s="2">
        <f t="shared" si="572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3226</v>
      </c>
      <c r="AA3638" s="2" t="s">
        <v>46</v>
      </c>
      <c r="AB3638" s="2" t="s">
        <v>60</v>
      </c>
      <c r="AC3638" s="2" t="s">
        <v>3331</v>
      </c>
      <c r="AF3638" s="2">
        <f t="shared" si="571"/>
        <v>0</v>
      </c>
      <c r="AJ3638" s="2">
        <f t="shared" si="572"/>
        <v>0</v>
      </c>
      <c r="AK3638" s="2">
        <f t="shared" ref="AK3638" si="578">T3638-W3638</f>
        <v>-345</v>
      </c>
      <c r="AL3638" s="18">
        <f t="shared" ref="AL3638" si="579"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80">(T3639-W3639)/T3639</f>
        <v>0.42321428571428571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1"/>
        <v>0</v>
      </c>
      <c r="AG3639" s="2">
        <v>14.535</v>
      </c>
      <c r="AH3639" s="2">
        <v>25.2</v>
      </c>
      <c r="AJ3639" s="2">
        <f t="shared" si="572"/>
        <v>0</v>
      </c>
      <c r="AK3639" s="2">
        <f t="shared" ref="AK3639:AK3670" si="581">T3639-W3639</f>
        <v>10.664999999999999</v>
      </c>
      <c r="AL3639" s="5">
        <f t="shared" ref="AL3639:AL3670" si="58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80"/>
        <v>0.52380952380952384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1"/>
        <v>0</v>
      </c>
      <c r="AG3640" s="2">
        <v>10</v>
      </c>
      <c r="AH3640" s="2">
        <v>21</v>
      </c>
      <c r="AJ3640" s="2">
        <f t="shared" si="572"/>
        <v>0</v>
      </c>
      <c r="AK3640" s="2">
        <f t="shared" si="581"/>
        <v>11</v>
      </c>
      <c r="AL3640" s="5">
        <f t="shared" si="582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80"/>
        <v>0.4919047619047619</v>
      </c>
      <c r="Z3641" s="2" t="s">
        <v>3226</v>
      </c>
      <c r="AA3641" s="2" t="s">
        <v>46</v>
      </c>
      <c r="AB3641" s="2" t="s">
        <v>47</v>
      </c>
      <c r="AC3641" s="2" t="s">
        <v>57</v>
      </c>
      <c r="AF3641" s="2">
        <f t="shared" si="571"/>
        <v>0</v>
      </c>
      <c r="AG3641" s="2">
        <v>10.67</v>
      </c>
      <c r="AH3641" s="2">
        <v>21</v>
      </c>
      <c r="AJ3641" s="2">
        <f t="shared" si="572"/>
        <v>0</v>
      </c>
      <c r="AK3641" s="2">
        <f t="shared" si="581"/>
        <v>10.33</v>
      </c>
      <c r="AL3641" s="5">
        <f t="shared" si="582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80"/>
        <v>0.46762608695652175</v>
      </c>
      <c r="Z3642" s="2" t="s">
        <v>3226</v>
      </c>
      <c r="AA3642" s="2" t="s">
        <v>75</v>
      </c>
      <c r="AB3642" s="2" t="s">
        <v>76</v>
      </c>
      <c r="AC3642" s="2" t="s">
        <v>77</v>
      </c>
      <c r="AF3642" s="2">
        <f t="shared" si="571"/>
        <v>0</v>
      </c>
      <c r="AG3642" s="2">
        <v>122.446</v>
      </c>
      <c r="AH3642" s="2">
        <v>230</v>
      </c>
      <c r="AJ3642" s="2">
        <f t="shared" si="572"/>
        <v>0</v>
      </c>
      <c r="AK3642" s="2">
        <f t="shared" si="581"/>
        <v>107.554</v>
      </c>
      <c r="AL3642" s="5">
        <f t="shared" si="582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80"/>
        <v>0</v>
      </c>
      <c r="Z3643" s="2" t="s">
        <v>3226</v>
      </c>
      <c r="AA3643" s="2" t="s">
        <v>96</v>
      </c>
      <c r="AB3643" s="2" t="s">
        <v>76</v>
      </c>
      <c r="AC3643" s="2" t="s">
        <v>93</v>
      </c>
      <c r="AF3643" s="2">
        <f t="shared" si="571"/>
        <v>0</v>
      </c>
      <c r="AG3643" s="2">
        <v>1.48</v>
      </c>
      <c r="AH3643" s="2">
        <v>1.48</v>
      </c>
      <c r="AJ3643" s="2">
        <f t="shared" si="572"/>
        <v>0</v>
      </c>
      <c r="AK3643" s="2">
        <f t="shared" si="581"/>
        <v>0</v>
      </c>
      <c r="AL3643" s="5">
        <f t="shared" si="582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83">6.6267*S3644</f>
        <v>6.6266999999999996</v>
      </c>
      <c r="X3644" s="5">
        <f t="shared" si="580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1"/>
        <v>0</v>
      </c>
      <c r="AG3644" s="2">
        <v>6.6266999999999996</v>
      </c>
      <c r="AH3644" s="2">
        <v>12</v>
      </c>
      <c r="AJ3644" s="2">
        <f t="shared" si="572"/>
        <v>0</v>
      </c>
      <c r="AK3644" s="2">
        <f t="shared" si="581"/>
        <v>6.3733000000000004</v>
      </c>
      <c r="AL3644" s="5">
        <f t="shared" si="582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83"/>
        <v>19.880099999999999</v>
      </c>
      <c r="X3645" s="5">
        <f t="shared" si="580"/>
        <v>0.49025384615384621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1"/>
        <v>0</v>
      </c>
      <c r="AG3645" s="2">
        <v>6.6266999999999996</v>
      </c>
      <c r="AH3645" s="2">
        <v>12</v>
      </c>
      <c r="AJ3645" s="2">
        <f t="shared" si="572"/>
        <v>0</v>
      </c>
      <c r="AK3645" s="2">
        <f t="shared" si="581"/>
        <v>19.119900000000001</v>
      </c>
      <c r="AL3645" s="5">
        <f t="shared" si="582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83"/>
        <v>6.6266999999999996</v>
      </c>
      <c r="X3646" s="5">
        <f t="shared" si="580"/>
        <v>0.65485937500000002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1"/>
        <v>0</v>
      </c>
      <c r="AG3646" s="2">
        <v>6.6266999999999996</v>
      </c>
      <c r="AH3646" s="2">
        <v>12</v>
      </c>
      <c r="AJ3646" s="2">
        <f t="shared" si="572"/>
        <v>0</v>
      </c>
      <c r="AK3646" s="2">
        <f t="shared" si="581"/>
        <v>12.5733</v>
      </c>
      <c r="AL3646" s="5">
        <f t="shared" si="582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83"/>
        <v>6.6266999999999996</v>
      </c>
      <c r="X3647" s="5">
        <f t="shared" si="580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1"/>
        <v>0</v>
      </c>
      <c r="AG3647" s="2">
        <v>6.6266999999999996</v>
      </c>
      <c r="AH3647" s="2">
        <v>12</v>
      </c>
      <c r="AJ3647" s="2">
        <f t="shared" si="572"/>
        <v>0</v>
      </c>
      <c r="AK3647" s="2">
        <f t="shared" si="581"/>
        <v>5.3733000000000004</v>
      </c>
      <c r="AL3647" s="5">
        <f t="shared" si="582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83"/>
        <v>13.253399999999999</v>
      </c>
      <c r="X3648" s="5">
        <f t="shared" si="580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1"/>
        <v>0</v>
      </c>
      <c r="AG3648" s="2">
        <v>6.6266999999999996</v>
      </c>
      <c r="AH3648" s="2">
        <v>12</v>
      </c>
      <c r="AJ3648" s="2">
        <f t="shared" si="572"/>
        <v>0</v>
      </c>
      <c r="AK3648" s="2">
        <f t="shared" si="581"/>
        <v>10.746600000000001</v>
      </c>
      <c r="AL3648" s="5">
        <f t="shared" si="582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83"/>
        <v>13.253399999999999</v>
      </c>
      <c r="X3649" s="5">
        <f t="shared" si="580"/>
        <v>0.44777500000000003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si="571"/>
        <v>0</v>
      </c>
      <c r="AG3649" s="2">
        <v>6.6266999999999996</v>
      </c>
      <c r="AH3649" s="2">
        <v>12</v>
      </c>
      <c r="AJ3649" s="2">
        <f t="shared" si="572"/>
        <v>0</v>
      </c>
      <c r="AK3649" s="2">
        <f t="shared" si="581"/>
        <v>10.746600000000001</v>
      </c>
      <c r="AL3649" s="5">
        <f t="shared" si="582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80"/>
        <v>0.71491228070175439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ref="AF3650:AF3713" si="584">AJ3650</f>
        <v>0</v>
      </c>
      <c r="AJ3650" s="2">
        <f t="shared" ref="AJ3650:AJ3713" si="585">AI3650*T3650</f>
        <v>0</v>
      </c>
      <c r="AK3650" s="2">
        <f t="shared" si="581"/>
        <v>48.900000000000006</v>
      </c>
      <c r="AL3650" s="5">
        <f t="shared" si="582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80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84"/>
        <v>0</v>
      </c>
      <c r="AJ3651" s="2">
        <f t="shared" si="585"/>
        <v>0</v>
      </c>
      <c r="AK3651" s="2">
        <f t="shared" si="581"/>
        <v>24.704999999999998</v>
      </c>
      <c r="AL3651" s="5">
        <f t="shared" si="582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80"/>
        <v>0.68624999999999992</v>
      </c>
      <c r="Z3652" s="2" t="s">
        <v>3226</v>
      </c>
      <c r="AA3652" s="2" t="s">
        <v>46</v>
      </c>
      <c r="AB3652" s="2" t="s">
        <v>47</v>
      </c>
      <c r="AC3652" s="2" t="s">
        <v>57</v>
      </c>
      <c r="AF3652" s="2">
        <f t="shared" si="584"/>
        <v>0</v>
      </c>
      <c r="AJ3652" s="2">
        <f t="shared" si="585"/>
        <v>0</v>
      </c>
      <c r="AK3652" s="2">
        <f t="shared" si="581"/>
        <v>49.41</v>
      </c>
      <c r="AL3652" s="5">
        <f t="shared" si="582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80"/>
        <v>0.46762608695652175</v>
      </c>
      <c r="Z3653" s="2" t="s">
        <v>3226</v>
      </c>
      <c r="AA3653" s="2" t="s">
        <v>75</v>
      </c>
      <c r="AB3653" s="2" t="s">
        <v>76</v>
      </c>
      <c r="AC3653" s="2" t="s">
        <v>77</v>
      </c>
      <c r="AF3653" s="2">
        <f t="shared" si="584"/>
        <v>0</v>
      </c>
      <c r="AG3653" s="2">
        <v>122.446</v>
      </c>
      <c r="AH3653" s="2">
        <v>230</v>
      </c>
      <c r="AJ3653" s="2">
        <f t="shared" si="585"/>
        <v>0</v>
      </c>
      <c r="AK3653" s="2">
        <f t="shared" si="581"/>
        <v>107.554</v>
      </c>
      <c r="AL3653" s="5">
        <f t="shared" si="582"/>
        <v>0.46762608695652175</v>
      </c>
    </row>
    <row r="3654" spans="1:38" x14ac:dyDescent="0.2">
      <c r="A3654" s="2">
        <v>2026</v>
      </c>
      <c r="B3654" s="2">
        <v>4</v>
      </c>
      <c r="C3654" s="2" t="s">
        <v>3445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80"/>
        <v>0.31428571428571428</v>
      </c>
      <c r="Z3654" s="2" t="s">
        <v>3226</v>
      </c>
      <c r="AA3654" s="2" t="s">
        <v>46</v>
      </c>
      <c r="AB3654" s="2" t="s">
        <v>47</v>
      </c>
      <c r="AC3654" s="2" t="s">
        <v>57</v>
      </c>
      <c r="AF3654" s="2">
        <f t="shared" si="584"/>
        <v>0</v>
      </c>
      <c r="AG3654" s="2">
        <v>14.4</v>
      </c>
      <c r="AH3654" s="2">
        <v>21</v>
      </c>
      <c r="AJ3654" s="2">
        <f t="shared" si="585"/>
        <v>0</v>
      </c>
      <c r="AK3654" s="2">
        <f t="shared" si="581"/>
        <v>6.6</v>
      </c>
      <c r="AL3654" s="5">
        <f t="shared" si="582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80"/>
        <v>0</v>
      </c>
      <c r="Z3655" s="2" t="s">
        <v>3226</v>
      </c>
      <c r="AA3655" s="2" t="s">
        <v>96</v>
      </c>
      <c r="AB3655" s="2" t="s">
        <v>76</v>
      </c>
      <c r="AC3655" s="2" t="s">
        <v>93</v>
      </c>
      <c r="AF3655" s="2">
        <f t="shared" si="584"/>
        <v>0</v>
      </c>
      <c r="AG3655" s="2">
        <v>1.48</v>
      </c>
      <c r="AH3655" s="2">
        <v>1.48</v>
      </c>
      <c r="AJ3655" s="2">
        <f t="shared" si="585"/>
        <v>0</v>
      </c>
      <c r="AK3655" s="2">
        <f t="shared" si="581"/>
        <v>0</v>
      </c>
      <c r="AL3655" s="5">
        <f t="shared" si="582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0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84"/>
        <v>0</v>
      </c>
      <c r="AG3656" s="2">
        <v>3.7357999999999998</v>
      </c>
      <c r="AH3656" s="2">
        <v>9</v>
      </c>
      <c r="AJ3656" s="2">
        <f t="shared" si="585"/>
        <v>0</v>
      </c>
      <c r="AK3656" s="2">
        <f t="shared" si="581"/>
        <v>5.2642000000000007</v>
      </c>
      <c r="AL3656" s="5">
        <f t="shared" si="582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80"/>
        <v>0.58491111111111116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84"/>
        <v>0</v>
      </c>
      <c r="AG3657" s="2">
        <v>3.7357999999999998</v>
      </c>
      <c r="AH3657" s="2">
        <v>9</v>
      </c>
      <c r="AJ3657" s="2">
        <f t="shared" si="585"/>
        <v>0</v>
      </c>
      <c r="AK3657" s="2">
        <f t="shared" si="581"/>
        <v>5.2642000000000007</v>
      </c>
      <c r="AL3657" s="5">
        <f t="shared" si="582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80"/>
        <v>0.50950925925925927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84"/>
        <v>0</v>
      </c>
      <c r="AG3658" s="2">
        <v>5.2972999999999999</v>
      </c>
      <c r="AH3658" s="2">
        <v>10.8</v>
      </c>
      <c r="AJ3658" s="2">
        <f t="shared" si="585"/>
        <v>0</v>
      </c>
      <c r="AK3658" s="2">
        <f t="shared" si="581"/>
        <v>5.5027000000000008</v>
      </c>
      <c r="AL3658" s="5">
        <f t="shared" si="582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80"/>
        <v>0.57566666666666666</v>
      </c>
      <c r="Z3659" s="2" t="s">
        <v>3226</v>
      </c>
      <c r="AA3659" s="2" t="s">
        <v>46</v>
      </c>
      <c r="AB3659" s="2" t="s">
        <v>47</v>
      </c>
      <c r="AC3659" s="2" t="s">
        <v>57</v>
      </c>
      <c r="AF3659" s="2">
        <f t="shared" si="584"/>
        <v>0</v>
      </c>
      <c r="AG3659" s="2">
        <v>12.73</v>
      </c>
      <c r="AH3659" s="2">
        <v>30</v>
      </c>
      <c r="AJ3659" s="2">
        <f t="shared" si="585"/>
        <v>0</v>
      </c>
      <c r="AK3659" s="2">
        <f t="shared" si="581"/>
        <v>17.27</v>
      </c>
      <c r="AL3659" s="5">
        <f t="shared" si="582"/>
        <v>0.57566666666666666</v>
      </c>
    </row>
    <row r="3660" spans="1:38" x14ac:dyDescent="0.2">
      <c r="A3660" s="2">
        <v>2026</v>
      </c>
      <c r="B3660" s="2">
        <v>4</v>
      </c>
      <c r="C3660" s="2" t="s">
        <v>3443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80"/>
        <v>0.47233333333333333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84"/>
        <v>0</v>
      </c>
      <c r="AJ3660" s="2">
        <f t="shared" si="585"/>
        <v>0</v>
      </c>
      <c r="AK3660" s="2">
        <f t="shared" si="581"/>
        <v>14.17</v>
      </c>
      <c r="AL3660" s="5">
        <f t="shared" si="582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80"/>
        <v>0.47734374999999996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84"/>
        <v>0</v>
      </c>
      <c r="AJ3661" s="2">
        <f t="shared" si="585"/>
        <v>0</v>
      </c>
      <c r="AK3661" s="2">
        <f t="shared" si="581"/>
        <v>9.1649999999999991</v>
      </c>
      <c r="AL3661" s="5">
        <f t="shared" si="582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80"/>
        <v>0.46823076923076917</v>
      </c>
      <c r="Z3662" s="2" t="s">
        <v>3226</v>
      </c>
      <c r="AA3662" s="2" t="s">
        <v>46</v>
      </c>
      <c r="AB3662" s="2" t="s">
        <v>56</v>
      </c>
      <c r="AC3662" s="2" t="s">
        <v>57</v>
      </c>
      <c r="AF3662" s="2">
        <f t="shared" si="584"/>
        <v>0</v>
      </c>
      <c r="AJ3662" s="2">
        <f t="shared" si="585"/>
        <v>0</v>
      </c>
      <c r="AK3662" s="2">
        <f t="shared" si="581"/>
        <v>10.956599999999998</v>
      </c>
      <c r="AL3662" s="5">
        <f t="shared" si="582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80"/>
        <v>0.44777500000000003</v>
      </c>
      <c r="Z3663" s="2" t="s">
        <v>3226</v>
      </c>
      <c r="AA3663" s="2" t="s">
        <v>46</v>
      </c>
      <c r="AB3663" s="2" t="s">
        <v>47</v>
      </c>
      <c r="AC3663" s="2" t="s">
        <v>57</v>
      </c>
      <c r="AF3663" s="2">
        <f t="shared" si="584"/>
        <v>0</v>
      </c>
      <c r="AG3663" s="2">
        <v>6.6266999999999996</v>
      </c>
      <c r="AH3663" s="2">
        <v>12</v>
      </c>
      <c r="AJ3663" s="2">
        <f t="shared" si="585"/>
        <v>0</v>
      </c>
      <c r="AK3663" s="2">
        <f t="shared" si="581"/>
        <v>5.3733000000000004</v>
      </c>
      <c r="AL3663" s="5">
        <f t="shared" si="582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0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84"/>
        <v>0</v>
      </c>
      <c r="AG3664" s="2">
        <v>7.2217000000000002</v>
      </c>
      <c r="AH3664" s="2">
        <v>14.4</v>
      </c>
      <c r="AJ3664" s="2">
        <f t="shared" si="585"/>
        <v>0</v>
      </c>
      <c r="AK3664" s="2">
        <f t="shared" si="581"/>
        <v>7.1783000000000001</v>
      </c>
      <c r="AL3664" s="5">
        <f t="shared" si="582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80"/>
        <v>0.49849305555555556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84"/>
        <v>0</v>
      </c>
      <c r="AG3665" s="2">
        <v>7.2217000000000002</v>
      </c>
      <c r="AH3665" s="2">
        <v>14.4</v>
      </c>
      <c r="AJ3665" s="2">
        <f t="shared" si="585"/>
        <v>0</v>
      </c>
      <c r="AK3665" s="2">
        <f t="shared" si="581"/>
        <v>7.1783000000000001</v>
      </c>
      <c r="AL3665" s="5">
        <f t="shared" si="582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0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84"/>
        <v>0</v>
      </c>
      <c r="AJ3666" s="2">
        <f t="shared" si="585"/>
        <v>0</v>
      </c>
      <c r="AK3666" s="2">
        <f t="shared" si="581"/>
        <v>8.3249999999999993</v>
      </c>
      <c r="AL3666" s="5">
        <f t="shared" si="582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80"/>
        <v>0.47844827586206895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84"/>
        <v>0</v>
      </c>
      <c r="AJ3667" s="2">
        <f t="shared" si="585"/>
        <v>0</v>
      </c>
      <c r="AK3667" s="2">
        <f t="shared" si="581"/>
        <v>8.3249999999999993</v>
      </c>
      <c r="AL3667" s="5">
        <f t="shared" si="582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86">11.045*S3668</f>
        <v>11.045</v>
      </c>
      <c r="X3668" s="5">
        <f t="shared" si="580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84"/>
        <v>0</v>
      </c>
      <c r="AJ3668" s="2">
        <f t="shared" si="585"/>
        <v>0</v>
      </c>
      <c r="AK3668" s="2">
        <f t="shared" si="581"/>
        <v>9.9550000000000001</v>
      </c>
      <c r="AL3668" s="5">
        <f t="shared" si="582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86"/>
        <v>11.045</v>
      </c>
      <c r="X3669" s="5">
        <f t="shared" si="580"/>
        <v>0.47404761904761905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84"/>
        <v>0</v>
      </c>
      <c r="AJ3669" s="2">
        <f t="shared" si="585"/>
        <v>0</v>
      </c>
      <c r="AK3669" s="2">
        <f t="shared" si="581"/>
        <v>9.9550000000000001</v>
      </c>
      <c r="AL3669" s="5">
        <f t="shared" si="582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87">13.4067*S3670</f>
        <v>26.813400000000001</v>
      </c>
      <c r="X3670" s="5">
        <f t="shared" si="580"/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84"/>
        <v>0</v>
      </c>
      <c r="AJ3670" s="2">
        <f t="shared" si="585"/>
        <v>0</v>
      </c>
      <c r="AK3670" s="2">
        <f t="shared" si="581"/>
        <v>23.586599999999997</v>
      </c>
      <c r="AL3670" s="5">
        <f t="shared" si="582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87"/>
        <v>13.406700000000001</v>
      </c>
      <c r="X3671" s="5">
        <f t="shared" ref="X3671:X3699" si="588">(T3671-W3671)/T3671</f>
        <v>0.4679880952380952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84"/>
        <v>0</v>
      </c>
      <c r="AJ3671" s="2">
        <f t="shared" si="585"/>
        <v>0</v>
      </c>
      <c r="AK3671" s="2">
        <f t="shared" ref="AK3671:AK3700" si="589">T3671-W3671</f>
        <v>11.793299999999999</v>
      </c>
      <c r="AL3671" s="5">
        <f t="shared" ref="AL3671:AL3699" si="59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91">16.2249*S3672</f>
        <v>32.449800000000003</v>
      </c>
      <c r="X3672" s="5">
        <f t="shared" si="588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84"/>
        <v>0</v>
      </c>
      <c r="AJ3672" s="2">
        <f t="shared" si="585"/>
        <v>0</v>
      </c>
      <c r="AK3672" s="2">
        <f t="shared" si="589"/>
        <v>27.550199999999997</v>
      </c>
      <c r="AL3672" s="5">
        <f t="shared" si="590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91"/>
        <v>16.224900000000002</v>
      </c>
      <c r="X3673" s="5">
        <f t="shared" si="588"/>
        <v>0.45916999999999997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84"/>
        <v>0</v>
      </c>
      <c r="AJ3673" s="2">
        <f t="shared" si="585"/>
        <v>0</v>
      </c>
      <c r="AK3673" s="2">
        <f t="shared" si="589"/>
        <v>13.775099999999998</v>
      </c>
      <c r="AL3673" s="5">
        <f t="shared" si="590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92">9.2346*S3674</f>
        <v>18.469200000000001</v>
      </c>
      <c r="X3674" s="5">
        <f t="shared" si="588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84"/>
        <v>0</v>
      </c>
      <c r="AJ3674" s="2">
        <f t="shared" si="585"/>
        <v>0</v>
      </c>
      <c r="AK3674" s="2">
        <f t="shared" si="589"/>
        <v>17.530799999999999</v>
      </c>
      <c r="AL3674" s="5">
        <f t="shared" si="590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92"/>
        <v>9.2346000000000004</v>
      </c>
      <c r="X3675" s="5">
        <f t="shared" si="588"/>
        <v>0.48696666666666666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84"/>
        <v>0</v>
      </c>
      <c r="AJ3675" s="2">
        <f t="shared" si="585"/>
        <v>0</v>
      </c>
      <c r="AK3675" s="2">
        <f t="shared" si="589"/>
        <v>8.7653999999999996</v>
      </c>
      <c r="AL3675" s="5">
        <f t="shared" si="59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93">10.6*S3676</f>
        <v>31.799999999999997</v>
      </c>
      <c r="X3676" s="5">
        <f t="shared" si="588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84"/>
        <v>0</v>
      </c>
      <c r="AG3676" s="2">
        <v>10.6</v>
      </c>
      <c r="AH3676" s="2">
        <v>18</v>
      </c>
      <c r="AJ3676" s="2">
        <f t="shared" si="585"/>
        <v>0</v>
      </c>
      <c r="AK3676" s="2">
        <f t="shared" si="589"/>
        <v>22.200000000000003</v>
      </c>
      <c r="AL3676" s="5">
        <f t="shared" si="590"/>
        <v>0.41111111111111115</v>
      </c>
    </row>
    <row r="3677" spans="1:38" x14ac:dyDescent="0.2">
      <c r="A3677" s="2">
        <v>2026</v>
      </c>
      <c r="B3677" s="2">
        <v>4</v>
      </c>
      <c r="C3677" s="2" t="s">
        <v>3318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93"/>
        <v>21.2</v>
      </c>
      <c r="X3677" s="5">
        <f t="shared" si="588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84"/>
        <v>0</v>
      </c>
      <c r="AG3677" s="2">
        <v>10.6</v>
      </c>
      <c r="AH3677" s="2">
        <v>18</v>
      </c>
      <c r="AJ3677" s="2">
        <f t="shared" si="585"/>
        <v>0</v>
      </c>
      <c r="AK3677" s="2">
        <f t="shared" si="589"/>
        <v>14.8</v>
      </c>
      <c r="AL3677" s="5">
        <f t="shared" si="590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93"/>
        <v>10.6</v>
      </c>
      <c r="X3678" s="5">
        <f t="shared" si="588"/>
        <v>0.41111111111111115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84"/>
        <v>0</v>
      </c>
      <c r="AG3678" s="2">
        <v>10.6</v>
      </c>
      <c r="AH3678" s="2">
        <v>18</v>
      </c>
      <c r="AJ3678" s="2">
        <f t="shared" si="585"/>
        <v>0</v>
      </c>
      <c r="AK3678" s="2">
        <f t="shared" si="589"/>
        <v>7.4</v>
      </c>
      <c r="AL3678" s="5">
        <f t="shared" si="590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93"/>
        <v>106</v>
      </c>
      <c r="X3679" s="5">
        <f t="shared" si="588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84"/>
        <v>0</v>
      </c>
      <c r="AG3679" s="2">
        <v>10.6</v>
      </c>
      <c r="AH3679" s="2">
        <v>18</v>
      </c>
      <c r="AJ3679" s="2">
        <f t="shared" si="585"/>
        <v>0</v>
      </c>
      <c r="AK3679" s="2">
        <f t="shared" si="589"/>
        <v>44</v>
      </c>
      <c r="AL3679" s="5">
        <f t="shared" si="590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93"/>
        <v>106</v>
      </c>
      <c r="X3680" s="5">
        <f t="shared" si="588"/>
        <v>0.29333333333333333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84"/>
        <v>0</v>
      </c>
      <c r="AG3680" s="2">
        <v>10.6</v>
      </c>
      <c r="AH3680" s="2">
        <v>18</v>
      </c>
      <c r="AJ3680" s="2">
        <f t="shared" si="585"/>
        <v>0</v>
      </c>
      <c r="AK3680" s="2">
        <f t="shared" si="589"/>
        <v>44</v>
      </c>
      <c r="AL3680" s="5">
        <f t="shared" si="590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93"/>
        <v>10.6</v>
      </c>
      <c r="X3681" s="5">
        <f t="shared" si="588"/>
        <v>0.41111111111111115</v>
      </c>
      <c r="Z3681" s="2" t="s">
        <v>3226</v>
      </c>
      <c r="AA3681" s="2" t="s">
        <v>46</v>
      </c>
      <c r="AB3681" s="2" t="s">
        <v>56</v>
      </c>
      <c r="AC3681" s="2" t="s">
        <v>57</v>
      </c>
      <c r="AF3681" s="2">
        <f t="shared" si="584"/>
        <v>0</v>
      </c>
      <c r="AG3681" s="2">
        <v>10.6</v>
      </c>
      <c r="AH3681" s="2">
        <v>18</v>
      </c>
      <c r="AJ3681" s="2">
        <f t="shared" si="585"/>
        <v>0</v>
      </c>
      <c r="AK3681" s="2">
        <f t="shared" si="589"/>
        <v>7.4</v>
      </c>
      <c r="AL3681" s="5">
        <f t="shared" si="590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88"/>
        <v>0.41250000000000003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84"/>
        <v>0</v>
      </c>
      <c r="AJ3682" s="2">
        <f t="shared" si="585"/>
        <v>0</v>
      </c>
      <c r="AK3682" s="2">
        <f t="shared" si="589"/>
        <v>3.96</v>
      </c>
      <c r="AL3682" s="5">
        <f t="shared" si="590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88"/>
        <v>0.49808399999999997</v>
      </c>
      <c r="Z3683" s="2" t="s">
        <v>3226</v>
      </c>
      <c r="AA3683" s="2" t="s">
        <v>46</v>
      </c>
      <c r="AB3683" s="2" t="s">
        <v>90</v>
      </c>
      <c r="AC3683" s="2" t="s">
        <v>57</v>
      </c>
      <c r="AF3683" s="2">
        <f t="shared" si="584"/>
        <v>0</v>
      </c>
      <c r="AJ3683" s="2">
        <f t="shared" si="585"/>
        <v>0</v>
      </c>
      <c r="AK3683" s="2">
        <f t="shared" si="589"/>
        <v>49.808399999999999</v>
      </c>
      <c r="AL3683" s="5">
        <f t="shared" si="590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88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84"/>
        <v>0</v>
      </c>
      <c r="AG3684" s="2">
        <v>9.14</v>
      </c>
      <c r="AH3684" s="2">
        <v>16</v>
      </c>
      <c r="AJ3684" s="2">
        <f t="shared" si="585"/>
        <v>0</v>
      </c>
      <c r="AK3684" s="2">
        <f t="shared" si="589"/>
        <v>3.8600000000000012</v>
      </c>
      <c r="AL3684" s="5">
        <f t="shared" si="590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88"/>
        <v>0.29692307692307701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84"/>
        <v>0</v>
      </c>
      <c r="AG3685" s="2">
        <v>9.14</v>
      </c>
      <c r="AH3685" s="2">
        <v>16</v>
      </c>
      <c r="AJ3685" s="2">
        <f t="shared" si="585"/>
        <v>0</v>
      </c>
      <c r="AK3685" s="2">
        <f t="shared" si="589"/>
        <v>7.7200000000000024</v>
      </c>
      <c r="AL3685" s="5">
        <f t="shared" si="59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94">0.082*S3686</f>
        <v>82</v>
      </c>
      <c r="X3686" s="5">
        <f t="shared" si="588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84"/>
        <v>0</v>
      </c>
      <c r="AG3686" s="2">
        <v>8.1999999999999993</v>
      </c>
      <c r="AH3686" s="2">
        <v>13</v>
      </c>
      <c r="AJ3686" s="2">
        <f t="shared" si="585"/>
        <v>0</v>
      </c>
      <c r="AK3686" s="2">
        <f t="shared" si="589"/>
        <v>28</v>
      </c>
      <c r="AL3686" s="5">
        <f t="shared" si="590"/>
        <v>0.25454545454545452</v>
      </c>
    </row>
    <row r="3687" spans="1:38" x14ac:dyDescent="0.2">
      <c r="A3687" s="2">
        <v>2026</v>
      </c>
      <c r="B3687" s="2">
        <v>4</v>
      </c>
      <c r="C3687" s="2" t="s">
        <v>3468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94"/>
        <v>82</v>
      </c>
      <c r="X3687" s="5">
        <f t="shared" si="588"/>
        <v>0.25454545454545452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84"/>
        <v>0</v>
      </c>
      <c r="AG3687" s="2">
        <v>8.1999999999999993</v>
      </c>
      <c r="AH3687" s="2">
        <v>13</v>
      </c>
      <c r="AJ3687" s="2">
        <f t="shared" si="585"/>
        <v>0</v>
      </c>
      <c r="AK3687" s="2">
        <f t="shared" si="589"/>
        <v>28</v>
      </c>
      <c r="AL3687" s="5">
        <f t="shared" si="590"/>
        <v>0.25454545454545452</v>
      </c>
    </row>
    <row r="3688" spans="1:38" x14ac:dyDescent="0.2">
      <c r="A3688" s="2">
        <v>2026</v>
      </c>
      <c r="B3688" s="2">
        <v>4</v>
      </c>
      <c r="C3688" s="2" t="s">
        <v>3443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94"/>
        <v>41</v>
      </c>
      <c r="X3688" s="5">
        <f t="shared" si="588"/>
        <v>0.36923076923076925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84"/>
        <v>0</v>
      </c>
      <c r="AG3688" s="2">
        <v>8.1999999999999993</v>
      </c>
      <c r="AH3688" s="2">
        <v>13</v>
      </c>
      <c r="AJ3688" s="2">
        <f t="shared" si="585"/>
        <v>0</v>
      </c>
      <c r="AK3688" s="2">
        <f t="shared" si="589"/>
        <v>24</v>
      </c>
      <c r="AL3688" s="5">
        <f t="shared" si="590"/>
        <v>0.36923076923076925</v>
      </c>
    </row>
    <row r="3689" spans="1:38" x14ac:dyDescent="0.2">
      <c r="A3689" s="2">
        <v>2026</v>
      </c>
      <c r="B3689" s="2">
        <v>4</v>
      </c>
      <c r="C3689" s="2" t="s">
        <v>3468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94"/>
        <v>32.800000000000004</v>
      </c>
      <c r="X3689" s="5">
        <f t="shared" si="588"/>
        <v>0.36923076923076914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84"/>
        <v>0</v>
      </c>
      <c r="AG3689" s="2">
        <v>8.1999999999999993</v>
      </c>
      <c r="AH3689" s="2">
        <v>13</v>
      </c>
      <c r="AJ3689" s="2">
        <f t="shared" si="585"/>
        <v>0</v>
      </c>
      <c r="AK3689" s="2">
        <f t="shared" si="589"/>
        <v>19.199999999999996</v>
      </c>
      <c r="AL3689" s="5">
        <f t="shared" si="590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94"/>
        <v>82</v>
      </c>
      <c r="X3690" s="5">
        <f t="shared" si="588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84"/>
        <v>0</v>
      </c>
      <c r="AG3690" s="2">
        <v>8.1999999999999993</v>
      </c>
      <c r="AH3690" s="2">
        <v>13</v>
      </c>
      <c r="AJ3690" s="2">
        <f t="shared" si="585"/>
        <v>0</v>
      </c>
      <c r="AK3690" s="2">
        <f t="shared" si="589"/>
        <v>28</v>
      </c>
      <c r="AL3690" s="5">
        <f t="shared" si="590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94"/>
        <v>82</v>
      </c>
      <c r="X3691" s="5">
        <f t="shared" si="588"/>
        <v>0.25454545454545452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84"/>
        <v>0</v>
      </c>
      <c r="AG3691" s="2">
        <v>8.1999999999999993</v>
      </c>
      <c r="AH3691" s="2">
        <v>13</v>
      </c>
      <c r="AJ3691" s="2">
        <f t="shared" si="585"/>
        <v>0</v>
      </c>
      <c r="AK3691" s="2">
        <f t="shared" si="589"/>
        <v>28</v>
      </c>
      <c r="AL3691" s="5">
        <f t="shared" si="590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94"/>
        <v>16.400000000000002</v>
      </c>
      <c r="X3692" s="5">
        <f t="shared" si="588"/>
        <v>0.36923076923076914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84"/>
        <v>0</v>
      </c>
      <c r="AG3692" s="2">
        <v>8.1999999999999993</v>
      </c>
      <c r="AH3692" s="2">
        <v>13</v>
      </c>
      <c r="AJ3692" s="2">
        <f t="shared" si="585"/>
        <v>0</v>
      </c>
      <c r="AK3692" s="2">
        <f t="shared" si="589"/>
        <v>9.5999999999999979</v>
      </c>
      <c r="AL3692" s="5">
        <f t="shared" si="590"/>
        <v>0.36923076923076914</v>
      </c>
    </row>
    <row r="3693" spans="1:38" x14ac:dyDescent="0.2">
      <c r="A3693" s="2">
        <v>2026</v>
      </c>
      <c r="B3693" s="2">
        <v>4</v>
      </c>
      <c r="C3693" s="2" t="s">
        <v>3445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88"/>
        <v>0.3471428571428572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84"/>
        <v>0</v>
      </c>
      <c r="AJ3693" s="2">
        <f t="shared" si="585"/>
        <v>0</v>
      </c>
      <c r="AK3693" s="2">
        <f t="shared" si="589"/>
        <v>24.300000000000004</v>
      </c>
      <c r="AL3693" s="5">
        <f t="shared" si="590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88"/>
        <v>0.34714285714285725</v>
      </c>
      <c r="Z3694" s="2" t="s">
        <v>3226</v>
      </c>
      <c r="AA3694" s="2" t="s">
        <v>46</v>
      </c>
      <c r="AB3694" s="2" t="s">
        <v>60</v>
      </c>
      <c r="AC3694" s="2" t="s">
        <v>57</v>
      </c>
      <c r="AF3694" s="2">
        <f t="shared" si="584"/>
        <v>0</v>
      </c>
      <c r="AJ3694" s="2">
        <f t="shared" si="585"/>
        <v>0</v>
      </c>
      <c r="AK3694" s="2">
        <f t="shared" si="589"/>
        <v>4.8600000000000012</v>
      </c>
      <c r="AL3694" s="5">
        <f t="shared" si="59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88"/>
        <v>0.67333333333333334</v>
      </c>
      <c r="Z3695" s="2" t="s">
        <v>3226</v>
      </c>
      <c r="AA3695" s="2" t="s">
        <v>46</v>
      </c>
      <c r="AB3695" s="2" t="s">
        <v>90</v>
      </c>
      <c r="AC3695" s="2" t="s">
        <v>57</v>
      </c>
      <c r="AF3695" s="2">
        <f t="shared" si="584"/>
        <v>0</v>
      </c>
      <c r="AJ3695" s="2">
        <f t="shared" si="585"/>
        <v>0</v>
      </c>
      <c r="AK3695" s="2">
        <f t="shared" si="589"/>
        <v>12.120000000000001</v>
      </c>
      <c r="AL3695" s="5">
        <f t="shared" si="590"/>
        <v>0.67333333333333334</v>
      </c>
    </row>
    <row r="3696" spans="1:38" x14ac:dyDescent="0.2">
      <c r="A3696" s="2">
        <v>2026</v>
      </c>
      <c r="B3696" s="2">
        <v>4</v>
      </c>
      <c r="C3696" s="2" t="s">
        <v>3445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88"/>
        <v>0.61904761904761907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84"/>
        <v>0</v>
      </c>
      <c r="AJ3696" s="2">
        <f t="shared" si="585"/>
        <v>0</v>
      </c>
      <c r="AK3696" s="2">
        <f t="shared" si="589"/>
        <v>26</v>
      </c>
      <c r="AL3696" s="5">
        <f t="shared" si="590"/>
        <v>0.61904761904761907</v>
      </c>
    </row>
    <row r="3697" spans="1:38" x14ac:dyDescent="0.2">
      <c r="A3697" s="2">
        <v>2026</v>
      </c>
      <c r="B3697" s="2">
        <v>4</v>
      </c>
      <c r="C3697" s="2" t="s">
        <v>3445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88"/>
        <v>0.54166666666666663</v>
      </c>
      <c r="Z3697" s="2" t="s">
        <v>3226</v>
      </c>
      <c r="AA3697" s="2" t="s">
        <v>46</v>
      </c>
      <c r="AB3697" s="2" t="s">
        <v>47</v>
      </c>
      <c r="AC3697" s="2" t="s">
        <v>57</v>
      </c>
      <c r="AF3697" s="2">
        <f t="shared" si="584"/>
        <v>0</v>
      </c>
      <c r="AJ3697" s="2">
        <f t="shared" si="585"/>
        <v>0</v>
      </c>
      <c r="AK3697" s="2">
        <f t="shared" si="589"/>
        <v>26</v>
      </c>
      <c r="AL3697" s="5">
        <f t="shared" si="590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88"/>
        <v>0.62926666666666664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84"/>
        <v>0</v>
      </c>
      <c r="AG3698" s="2">
        <v>1.1122000000000001</v>
      </c>
      <c r="AH3698" s="2">
        <v>3</v>
      </c>
      <c r="AJ3698" s="2">
        <f t="shared" si="585"/>
        <v>0</v>
      </c>
      <c r="AK3698" s="2">
        <f t="shared" si="589"/>
        <v>15.102399999999999</v>
      </c>
      <c r="AL3698" s="5">
        <f t="shared" si="590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88"/>
        <v>0.5295333333333333</v>
      </c>
      <c r="Z3699" s="2" t="s">
        <v>3226</v>
      </c>
      <c r="AA3699" s="2" t="s">
        <v>46</v>
      </c>
      <c r="AB3699" s="2" t="s">
        <v>60</v>
      </c>
      <c r="AC3699" s="2" t="s">
        <v>57</v>
      </c>
      <c r="AF3699" s="2">
        <f t="shared" si="584"/>
        <v>0</v>
      </c>
      <c r="AG3699" s="2">
        <v>1.4114</v>
      </c>
      <c r="AH3699" s="2">
        <v>3</v>
      </c>
      <c r="AJ3699" s="2">
        <f t="shared" si="585"/>
        <v>0</v>
      </c>
      <c r="AK3699" s="2">
        <f t="shared" si="589"/>
        <v>63.543999999999997</v>
      </c>
      <c r="AL3699" s="5">
        <f t="shared" si="590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3226</v>
      </c>
      <c r="AA3700" s="2" t="s">
        <v>46</v>
      </c>
      <c r="AB3700" s="2" t="s">
        <v>90</v>
      </c>
      <c r="AC3700" s="2" t="s">
        <v>57</v>
      </c>
      <c r="AF3700" s="2">
        <f t="shared" si="584"/>
        <v>0</v>
      </c>
      <c r="AJ3700" s="2">
        <f t="shared" si="585"/>
        <v>0</v>
      </c>
      <c r="AK3700" s="2">
        <f t="shared" si="589"/>
        <v>-160</v>
      </c>
      <c r="AL3700" s="18">
        <f t="shared" ref="AL3700" si="595">SIGN(T3700)*((ABS(T3700)-W3700)/ABS(T3700))</f>
        <v>0.66666666666666663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96">(T3701-W3701)/T3701</f>
        <v>0.25811111111111118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84"/>
        <v>0</v>
      </c>
      <c r="AG3701" s="2">
        <v>16.692499999999999</v>
      </c>
      <c r="AH3701" s="2">
        <v>27.6</v>
      </c>
      <c r="AJ3701" s="2">
        <f t="shared" si="585"/>
        <v>0</v>
      </c>
      <c r="AK3701" s="2">
        <f t="shared" ref="AK3701:AK3717" si="597">T3701-W3701</f>
        <v>11.615000000000002</v>
      </c>
      <c r="AL3701" s="5">
        <f t="shared" ref="AL3701:AL3716" si="598">(T3701-W3701)/T3701</f>
        <v>0.25811111111111118</v>
      </c>
    </row>
    <row r="3702" spans="1:38" x14ac:dyDescent="0.2">
      <c r="A3702" s="2">
        <v>2026</v>
      </c>
      <c r="B3702" s="2">
        <v>4</v>
      </c>
      <c r="C3702" s="2" t="s">
        <v>3445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96"/>
        <v>0.27423913043478265</v>
      </c>
      <c r="Z3702" s="2" t="s">
        <v>3226</v>
      </c>
      <c r="AA3702" s="2" t="s">
        <v>46</v>
      </c>
      <c r="AB3702" s="2" t="s">
        <v>67</v>
      </c>
      <c r="AC3702" s="2" t="s">
        <v>57</v>
      </c>
      <c r="AF3702" s="2">
        <f t="shared" si="584"/>
        <v>0</v>
      </c>
      <c r="AG3702" s="2">
        <v>16.692499999999999</v>
      </c>
      <c r="AH3702" s="2">
        <v>27.6</v>
      </c>
      <c r="AJ3702" s="2">
        <f t="shared" si="585"/>
        <v>0</v>
      </c>
      <c r="AK3702" s="2">
        <f t="shared" si="597"/>
        <v>6.307500000000001</v>
      </c>
      <c r="AL3702" s="5">
        <f t="shared" si="598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96"/>
        <v>0.20122173913043473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84"/>
        <v>0</v>
      </c>
      <c r="AJ3703" s="2">
        <f t="shared" si="585"/>
        <v>0</v>
      </c>
      <c r="AK3703" s="2">
        <f t="shared" si="597"/>
        <v>111.07439999999997</v>
      </c>
      <c r="AL3703" s="5">
        <f t="shared" si="598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96"/>
        <v>0.17677391304347828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84"/>
        <v>0</v>
      </c>
      <c r="AJ3704" s="2">
        <f t="shared" si="585"/>
        <v>0</v>
      </c>
      <c r="AK3704" s="2">
        <f t="shared" si="597"/>
        <v>97.579200000000014</v>
      </c>
      <c r="AL3704" s="5">
        <f t="shared" si="598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96"/>
        <v>0.46722222222222226</v>
      </c>
      <c r="Z3705" s="2" t="s">
        <v>3226</v>
      </c>
      <c r="AA3705" s="2" t="s">
        <v>46</v>
      </c>
      <c r="AB3705" s="2" t="s">
        <v>60</v>
      </c>
      <c r="AC3705" s="2" t="s">
        <v>57</v>
      </c>
      <c r="AF3705" s="2">
        <f t="shared" si="584"/>
        <v>0</v>
      </c>
      <c r="AJ3705" s="2">
        <f t="shared" si="585"/>
        <v>0</v>
      </c>
      <c r="AK3705" s="2">
        <f t="shared" si="597"/>
        <v>6.7280000000000006</v>
      </c>
      <c r="AL3705" s="5">
        <f t="shared" si="598"/>
        <v>0.46722222222222226</v>
      </c>
    </row>
    <row r="3706" spans="1:38" x14ac:dyDescent="0.2">
      <c r="A3706" s="2">
        <v>2026</v>
      </c>
      <c r="B3706" s="2">
        <v>4</v>
      </c>
      <c r="C3706" s="2" t="s">
        <v>3443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96"/>
        <v>0.46925333333333336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84"/>
        <v>0</v>
      </c>
      <c r="AG3706" s="2">
        <v>7.9611999999999998</v>
      </c>
      <c r="AH3706" s="2">
        <v>14.4</v>
      </c>
      <c r="AJ3706" s="2">
        <f t="shared" si="585"/>
        <v>0</v>
      </c>
      <c r="AK3706" s="2">
        <f t="shared" si="597"/>
        <v>28.155200000000001</v>
      </c>
      <c r="AL3706" s="5">
        <f t="shared" si="598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99">15.0203*S3707</f>
        <v>15.020300000000001</v>
      </c>
      <c r="X3707" s="5">
        <f t="shared" si="596"/>
        <v>0.45578623188405798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84"/>
        <v>0</v>
      </c>
      <c r="AG3707" s="2">
        <v>15.020300000000001</v>
      </c>
      <c r="AH3707" s="2">
        <v>27.6</v>
      </c>
      <c r="AJ3707" s="2">
        <f t="shared" si="585"/>
        <v>0</v>
      </c>
      <c r="AK3707" s="2">
        <f t="shared" si="597"/>
        <v>12.579700000000001</v>
      </c>
      <c r="AL3707" s="5">
        <f t="shared" si="598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99"/>
        <v>45.060900000000004</v>
      </c>
      <c r="X3708" s="5">
        <f t="shared" si="596"/>
        <v>0.37415416666666662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84"/>
        <v>0</v>
      </c>
      <c r="AG3708" s="2">
        <v>15.020300000000001</v>
      </c>
      <c r="AH3708" s="2">
        <v>27.6</v>
      </c>
      <c r="AJ3708" s="2">
        <f t="shared" si="585"/>
        <v>0</v>
      </c>
      <c r="AK3708" s="2">
        <f t="shared" si="597"/>
        <v>26.939099999999996</v>
      </c>
      <c r="AL3708" s="5">
        <f t="shared" si="598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99"/>
        <v>15.020300000000001</v>
      </c>
      <c r="X3709" s="5">
        <f t="shared" si="596"/>
        <v>0.45578623188405798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84"/>
        <v>0</v>
      </c>
      <c r="AG3709" s="2">
        <v>15.020300000000001</v>
      </c>
      <c r="AH3709" s="2">
        <v>27.6</v>
      </c>
      <c r="AJ3709" s="2">
        <f t="shared" si="585"/>
        <v>0</v>
      </c>
      <c r="AK3709" s="2">
        <f t="shared" si="597"/>
        <v>12.579700000000001</v>
      </c>
      <c r="AL3709" s="5">
        <f t="shared" si="598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99"/>
        <v>150.203</v>
      </c>
      <c r="X3710" s="5">
        <f t="shared" si="596"/>
        <v>0.30138139534883718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84"/>
        <v>0</v>
      </c>
      <c r="AG3710" s="2">
        <v>15.020300000000001</v>
      </c>
      <c r="AH3710" s="2">
        <v>27.6</v>
      </c>
      <c r="AJ3710" s="2">
        <f t="shared" si="585"/>
        <v>0</v>
      </c>
      <c r="AK3710" s="2">
        <f t="shared" si="597"/>
        <v>64.796999999999997</v>
      </c>
      <c r="AL3710" s="5">
        <f t="shared" si="598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99"/>
        <v>15.020300000000001</v>
      </c>
      <c r="X3711" s="5">
        <f t="shared" si="596"/>
        <v>0.45578623188405798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84"/>
        <v>0</v>
      </c>
      <c r="AG3711" s="2">
        <v>15.020300000000001</v>
      </c>
      <c r="AH3711" s="2">
        <v>27.6</v>
      </c>
      <c r="AJ3711" s="2">
        <f t="shared" si="585"/>
        <v>0</v>
      </c>
      <c r="AK3711" s="2">
        <f t="shared" si="597"/>
        <v>12.579700000000001</v>
      </c>
      <c r="AL3711" s="5">
        <f t="shared" si="598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F3712" s="2" t="s">
        <v>39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99"/>
        <v>600.81200000000001</v>
      </c>
      <c r="X3712" s="5">
        <f t="shared" si="596"/>
        <v>0.28474761904761903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84"/>
        <v>0</v>
      </c>
      <c r="AG3712" s="2">
        <v>15.020300000000001</v>
      </c>
      <c r="AH3712" s="2">
        <v>27.6</v>
      </c>
      <c r="AJ3712" s="2">
        <f t="shared" si="585"/>
        <v>0</v>
      </c>
      <c r="AK3712" s="2">
        <f t="shared" si="597"/>
        <v>239.18799999999999</v>
      </c>
      <c r="AL3712" s="5">
        <f t="shared" si="598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96"/>
        <v>0.40610714285714283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si="584"/>
        <v>0</v>
      </c>
      <c r="AG3713" s="2">
        <v>8.3145000000000007</v>
      </c>
      <c r="AH3713" s="2">
        <v>15</v>
      </c>
      <c r="AJ3713" s="2">
        <f t="shared" si="585"/>
        <v>0</v>
      </c>
      <c r="AK3713" s="2">
        <f t="shared" si="597"/>
        <v>11.370999999999999</v>
      </c>
      <c r="AL3713" s="5">
        <f t="shared" si="598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96"/>
        <v>0.44569999999999993</v>
      </c>
      <c r="Z3714" s="2" t="s">
        <v>3226</v>
      </c>
      <c r="AA3714" s="2" t="s">
        <v>46</v>
      </c>
      <c r="AB3714" s="2" t="s">
        <v>67</v>
      </c>
      <c r="AC3714" s="2" t="s">
        <v>57</v>
      </c>
      <c r="AF3714" s="2">
        <f t="shared" ref="AF3714:AF3777" si="600">AJ3714</f>
        <v>0</v>
      </c>
      <c r="AG3714" s="2">
        <v>8.3145000000000007</v>
      </c>
      <c r="AH3714" s="2">
        <v>15</v>
      </c>
      <c r="AJ3714" s="2">
        <f t="shared" ref="AJ3714:AJ3777" si="601">AI3714*T3714</f>
        <v>0</v>
      </c>
      <c r="AK3714" s="2">
        <f t="shared" si="597"/>
        <v>6.6854999999999993</v>
      </c>
      <c r="AL3714" s="5">
        <f t="shared" si="598"/>
        <v>0.44569999999999993</v>
      </c>
    </row>
    <row r="3715" spans="1:38" x14ac:dyDescent="0.2">
      <c r="A3715" s="2">
        <v>2026</v>
      </c>
      <c r="B3715" s="2">
        <v>4</v>
      </c>
      <c r="C3715" s="2" t="s">
        <v>3443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96"/>
        <v>0.40366666666666667</v>
      </c>
      <c r="Z3715" s="2" t="s">
        <v>3226</v>
      </c>
      <c r="AA3715" s="2" t="s">
        <v>46</v>
      </c>
      <c r="AB3715" s="2" t="s">
        <v>90</v>
      </c>
      <c r="AC3715" s="2" t="s">
        <v>57</v>
      </c>
      <c r="AF3715" s="2">
        <f t="shared" si="600"/>
        <v>0</v>
      </c>
      <c r="AG3715" s="2">
        <v>35.78</v>
      </c>
      <c r="AH3715" s="2">
        <v>63.6</v>
      </c>
      <c r="AJ3715" s="2">
        <f t="shared" si="601"/>
        <v>0</v>
      </c>
      <c r="AK3715" s="2">
        <f t="shared" si="597"/>
        <v>24.22</v>
      </c>
      <c r="AL3715" s="5">
        <f t="shared" si="598"/>
        <v>0.40366666666666667</v>
      </c>
    </row>
    <row r="3716" spans="1:38" x14ac:dyDescent="0.2">
      <c r="A3716" s="2">
        <v>2026</v>
      </c>
      <c r="B3716" s="2">
        <v>4</v>
      </c>
      <c r="C3716" s="2" t="s">
        <v>3318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3229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96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3229</v>
      </c>
      <c r="AF3716" s="2">
        <f t="shared" si="600"/>
        <v>0</v>
      </c>
      <c r="AJ3716" s="2">
        <f t="shared" si="601"/>
        <v>0</v>
      </c>
      <c r="AK3716" s="2">
        <f t="shared" si="597"/>
        <v>7073.38</v>
      </c>
      <c r="AL3716" s="5">
        <f t="shared" si="598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3226</v>
      </c>
      <c r="AA3717" s="2" t="s">
        <v>75</v>
      </c>
      <c r="AB3717" s="2" t="s">
        <v>76</v>
      </c>
      <c r="AC3717" s="2" t="s">
        <v>40</v>
      </c>
      <c r="AF3717" s="2">
        <f t="shared" si="600"/>
        <v>0</v>
      </c>
      <c r="AJ3717" s="2">
        <f t="shared" si="601"/>
        <v>0</v>
      </c>
      <c r="AK3717" s="2">
        <f t="shared" si="597"/>
        <v>-291.39</v>
      </c>
      <c r="AL3717" s="18">
        <f t="shared" ref="AL3717" si="602"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603">(T3718-W3718)/T3718</f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0"/>
        <v>0</v>
      </c>
      <c r="AG3718" s="2">
        <v>125.51600000000001</v>
      </c>
      <c r="AH3718" s="2">
        <v>220</v>
      </c>
      <c r="AJ3718" s="2">
        <f t="shared" si="601"/>
        <v>0</v>
      </c>
      <c r="AK3718" s="2">
        <f t="shared" ref="AK3718:AK3743" si="604">T3718-W3718</f>
        <v>94.483999999999995</v>
      </c>
      <c r="AL3718" s="5">
        <f t="shared" ref="AL3718:AL3742" si="605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3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0"/>
        <v>0</v>
      </c>
      <c r="AG3719" s="2">
        <v>125.51600000000001</v>
      </c>
      <c r="AH3719" s="2">
        <v>220</v>
      </c>
      <c r="AJ3719" s="2">
        <f t="shared" si="601"/>
        <v>0</v>
      </c>
      <c r="AK3719" s="2">
        <f t="shared" si="604"/>
        <v>94.483999999999995</v>
      </c>
      <c r="AL3719" s="5">
        <f t="shared" si="605"/>
        <v>0.42947272727272723</v>
      </c>
    </row>
    <row r="3720" spans="1:38" x14ac:dyDescent="0.2">
      <c r="A3720" s="2">
        <v>2026</v>
      </c>
      <c r="B3720" s="2">
        <v>4</v>
      </c>
      <c r="C3720" s="2" t="s">
        <v>3445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3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0"/>
        <v>0</v>
      </c>
      <c r="AG3720" s="2">
        <v>125.51600000000001</v>
      </c>
      <c r="AH3720" s="2">
        <v>220</v>
      </c>
      <c r="AJ3720" s="2">
        <f t="shared" si="601"/>
        <v>0</v>
      </c>
      <c r="AK3720" s="2">
        <f t="shared" si="604"/>
        <v>94.483999999999995</v>
      </c>
      <c r="AL3720" s="5">
        <f t="shared" si="605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603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0"/>
        <v>0</v>
      </c>
      <c r="AG3721" s="2">
        <v>125.51600000000001</v>
      </c>
      <c r="AH3721" s="2">
        <v>220</v>
      </c>
      <c r="AJ3721" s="2">
        <f t="shared" si="601"/>
        <v>0</v>
      </c>
      <c r="AK3721" s="2">
        <f t="shared" si="604"/>
        <v>94.483999999999995</v>
      </c>
      <c r="AL3721" s="5">
        <f t="shared" si="605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603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0"/>
        <v>0</v>
      </c>
      <c r="AG3722" s="2">
        <v>125.51600000000001</v>
      </c>
      <c r="AH3722" s="2">
        <v>220</v>
      </c>
      <c r="AJ3722" s="2">
        <f t="shared" si="601"/>
        <v>0</v>
      </c>
      <c r="AK3722" s="2">
        <f t="shared" si="604"/>
        <v>188.96799999999999</v>
      </c>
      <c r="AL3722" s="5">
        <f t="shared" si="605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603"/>
        <v>0.42947272727272723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0"/>
        <v>0</v>
      </c>
      <c r="AG3723" s="2">
        <v>125.51600000000001</v>
      </c>
      <c r="AH3723" s="2">
        <v>220</v>
      </c>
      <c r="AJ3723" s="2">
        <f t="shared" si="601"/>
        <v>0</v>
      </c>
      <c r="AK3723" s="2">
        <f t="shared" si="604"/>
        <v>94.483999999999995</v>
      </c>
      <c r="AL3723" s="5">
        <f t="shared" si="605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603"/>
        <v>0.41182755388940956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0"/>
        <v>0</v>
      </c>
      <c r="AG3724" s="2">
        <v>125.51600000000001</v>
      </c>
      <c r="AH3724" s="2">
        <v>220</v>
      </c>
      <c r="AJ3724" s="2">
        <f t="shared" si="601"/>
        <v>0</v>
      </c>
      <c r="AK3724" s="2">
        <f t="shared" si="604"/>
        <v>87.884</v>
      </c>
      <c r="AL3724" s="5">
        <f t="shared" si="605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603"/>
        <v>0.42947272727272723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0"/>
        <v>0</v>
      </c>
      <c r="AG3725" s="2">
        <v>125.51600000000001</v>
      </c>
      <c r="AH3725" s="2">
        <v>220</v>
      </c>
      <c r="AJ3725" s="2">
        <f t="shared" si="601"/>
        <v>0</v>
      </c>
      <c r="AK3725" s="2">
        <f t="shared" si="604"/>
        <v>94.483999999999995</v>
      </c>
      <c r="AL3725" s="5">
        <f t="shared" si="605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603"/>
        <v>0.52504545454545459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0"/>
        <v>0</v>
      </c>
      <c r="AG3726" s="2">
        <v>104.49</v>
      </c>
      <c r="AH3726" s="2">
        <v>220</v>
      </c>
      <c r="AJ3726" s="2">
        <f t="shared" si="601"/>
        <v>0</v>
      </c>
      <c r="AK3726" s="2">
        <f t="shared" si="604"/>
        <v>115.51</v>
      </c>
      <c r="AL3726" s="5">
        <f t="shared" si="605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603"/>
        <v>0.47704545454545455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0"/>
        <v>0</v>
      </c>
      <c r="AG3727" s="2">
        <v>115.05</v>
      </c>
      <c r="AJ3727" s="2">
        <f t="shared" si="601"/>
        <v>0</v>
      </c>
      <c r="AK3727" s="2">
        <f t="shared" si="604"/>
        <v>104.95</v>
      </c>
      <c r="AL3727" s="5">
        <f t="shared" si="605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603"/>
        <v>0.37426086956521742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0"/>
        <v>0</v>
      </c>
      <c r="AG3728" s="2">
        <v>143.91999999999999</v>
      </c>
      <c r="AJ3728" s="2">
        <f t="shared" si="601"/>
        <v>0</v>
      </c>
      <c r="AK3728" s="2">
        <f t="shared" si="604"/>
        <v>86.080000000000013</v>
      </c>
      <c r="AL3728" s="5">
        <f t="shared" si="605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603"/>
        <v>0.39365217391304347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0"/>
        <v>0</v>
      </c>
      <c r="AJ3729" s="2">
        <f t="shared" si="601"/>
        <v>0</v>
      </c>
      <c r="AK3729" s="2">
        <f t="shared" si="604"/>
        <v>90.539999999999992</v>
      </c>
      <c r="AL3729" s="5">
        <f t="shared" si="605"/>
        <v>0.39365217391304347</v>
      </c>
    </row>
    <row r="3730" spans="1:38" x14ac:dyDescent="0.2">
      <c r="A3730" s="2">
        <v>2026</v>
      </c>
      <c r="B3730" s="2">
        <v>4</v>
      </c>
      <c r="C3730" s="2" t="s">
        <v>3468</v>
      </c>
      <c r="D3730" s="2" t="s">
        <v>198</v>
      </c>
      <c r="E3730" s="2" t="s">
        <v>108</v>
      </c>
      <c r="F3730" s="2" t="s">
        <v>39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603"/>
        <v>0.41681818181818175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0"/>
        <v>0</v>
      </c>
      <c r="AJ3730" s="2">
        <f t="shared" si="601"/>
        <v>0</v>
      </c>
      <c r="AK3730" s="2">
        <f t="shared" si="604"/>
        <v>91.699999999999989</v>
      </c>
      <c r="AL3730" s="5">
        <f t="shared" si="605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603"/>
        <v>0.38559155621011287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0"/>
        <v>0</v>
      </c>
      <c r="AG3731" s="2">
        <v>105.59</v>
      </c>
      <c r="AJ3731" s="2">
        <f t="shared" si="601"/>
        <v>0</v>
      </c>
      <c r="AK3731" s="2">
        <f t="shared" si="604"/>
        <v>78.544999999999987</v>
      </c>
      <c r="AL3731" s="5">
        <f t="shared" si="605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603"/>
        <v>0.4575909090909091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0"/>
        <v>0</v>
      </c>
      <c r="AG3732" s="2">
        <v>119.33</v>
      </c>
      <c r="AH3732" s="2">
        <v>220</v>
      </c>
      <c r="AJ3732" s="2">
        <f t="shared" si="601"/>
        <v>0</v>
      </c>
      <c r="AK3732" s="2">
        <f t="shared" si="604"/>
        <v>100.67</v>
      </c>
      <c r="AL3732" s="5">
        <f t="shared" si="605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603"/>
        <v>0.48486363636363639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0"/>
        <v>0</v>
      </c>
      <c r="AG3733" s="2">
        <v>113.33</v>
      </c>
      <c r="AH3733" s="2">
        <v>220</v>
      </c>
      <c r="AJ3733" s="2">
        <f t="shared" si="601"/>
        <v>0</v>
      </c>
      <c r="AK3733" s="2">
        <f t="shared" si="604"/>
        <v>106.67</v>
      </c>
      <c r="AL3733" s="5">
        <f t="shared" si="605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603"/>
        <v>0.44006916996047435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0"/>
        <v>0</v>
      </c>
      <c r="AG3734" s="2">
        <v>113.33</v>
      </c>
      <c r="AH3734" s="2">
        <v>220</v>
      </c>
      <c r="AJ3734" s="2">
        <f t="shared" si="601"/>
        <v>0</v>
      </c>
      <c r="AK3734" s="2">
        <f t="shared" si="604"/>
        <v>89.070000000000007</v>
      </c>
      <c r="AL3734" s="5">
        <f t="shared" si="605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603"/>
        <v>0.49099999999999999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0"/>
        <v>0</v>
      </c>
      <c r="AG3735" s="2">
        <v>111.98</v>
      </c>
      <c r="AH3735" s="2">
        <v>210</v>
      </c>
      <c r="AJ3735" s="2">
        <f t="shared" si="601"/>
        <v>0</v>
      </c>
      <c r="AK3735" s="2">
        <f t="shared" si="604"/>
        <v>108.02</v>
      </c>
      <c r="AL3735" s="5">
        <f t="shared" si="605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603"/>
        <v>0.37336666666666662</v>
      </c>
      <c r="Z3736" s="2" t="s">
        <v>3226</v>
      </c>
      <c r="AA3736" s="2" t="s">
        <v>75</v>
      </c>
      <c r="AB3736" s="2" t="s">
        <v>76</v>
      </c>
      <c r="AC3736" s="2" t="s">
        <v>77</v>
      </c>
      <c r="AF3736" s="2">
        <f t="shared" si="600"/>
        <v>0</v>
      </c>
      <c r="AG3736" s="2">
        <v>187.99</v>
      </c>
      <c r="AJ3736" s="2">
        <f t="shared" si="601"/>
        <v>0</v>
      </c>
      <c r="AK3736" s="2">
        <f t="shared" si="604"/>
        <v>112.00999999999999</v>
      </c>
      <c r="AL3736" s="5">
        <f t="shared" si="605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603"/>
        <v>0.49359999999999998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0"/>
        <v>0</v>
      </c>
      <c r="AJ3737" s="2">
        <f t="shared" si="601"/>
        <v>0</v>
      </c>
      <c r="AK3737" s="2">
        <f t="shared" si="604"/>
        <v>172.76</v>
      </c>
      <c r="AL3737" s="5">
        <f t="shared" si="605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603"/>
        <v>0.33851921274601693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0"/>
        <v>0</v>
      </c>
      <c r="AG3738" s="2">
        <v>141.16</v>
      </c>
      <c r="AJ3738" s="2">
        <f t="shared" si="601"/>
        <v>0</v>
      </c>
      <c r="AK3738" s="2">
        <f t="shared" si="604"/>
        <v>72.240000000000009</v>
      </c>
      <c r="AL3738" s="5">
        <f t="shared" si="605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3156</v>
      </c>
      <c r="L3739" s="2" t="s">
        <v>112</v>
      </c>
      <c r="M3739" s="2" t="s">
        <v>80</v>
      </c>
      <c r="O3739" s="2" t="s">
        <v>3158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603"/>
        <v>0.45652173913043476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0"/>
        <v>0</v>
      </c>
      <c r="AG3739" s="2">
        <v>115</v>
      </c>
      <c r="AJ3739" s="2">
        <f t="shared" si="601"/>
        <v>0</v>
      </c>
      <c r="AK3739" s="2">
        <f t="shared" si="604"/>
        <v>483</v>
      </c>
      <c r="AL3739" s="5">
        <f t="shared" si="605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3157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603"/>
        <v>0.47727272727272729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0"/>
        <v>0</v>
      </c>
      <c r="AG3740" s="2">
        <v>115</v>
      </c>
      <c r="AJ3740" s="2">
        <f t="shared" si="601"/>
        <v>0</v>
      </c>
      <c r="AK3740" s="2">
        <f t="shared" si="604"/>
        <v>105</v>
      </c>
      <c r="AL3740" s="5">
        <f t="shared" si="605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3162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603"/>
        <v>0.45994871794871794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0"/>
        <v>0</v>
      </c>
      <c r="AJ3741" s="2">
        <f t="shared" si="601"/>
        <v>0</v>
      </c>
      <c r="AK3741" s="2">
        <f t="shared" si="604"/>
        <v>179.38</v>
      </c>
      <c r="AL3741" s="5">
        <f t="shared" si="605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603"/>
        <v>0.44215657741559949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0"/>
        <v>0</v>
      </c>
      <c r="AG3742" s="2">
        <v>153.34</v>
      </c>
      <c r="AJ3742" s="2">
        <f t="shared" si="601"/>
        <v>0</v>
      </c>
      <c r="AK3742" s="2">
        <f t="shared" si="604"/>
        <v>121.53999999999999</v>
      </c>
      <c r="AL3742" s="5">
        <f t="shared" si="605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3226</v>
      </c>
      <c r="AA3743" s="2" t="s">
        <v>75</v>
      </c>
      <c r="AB3743" s="2" t="s">
        <v>76</v>
      </c>
      <c r="AC3743" s="2" t="s">
        <v>1038</v>
      </c>
      <c r="AF3743" s="2">
        <f t="shared" si="600"/>
        <v>0</v>
      </c>
      <c r="AJ3743" s="2">
        <f t="shared" si="601"/>
        <v>0</v>
      </c>
      <c r="AK3743" s="2">
        <f t="shared" si="604"/>
        <v>-443.34000000000003</v>
      </c>
      <c r="AL3743" s="18">
        <f t="shared" ref="AL3743" si="606"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607">(T3744-W3744)/T3744</f>
        <v>0.50750000000000006</v>
      </c>
      <c r="Z3744" s="2" t="s">
        <v>3226</v>
      </c>
      <c r="AA3744" s="2" t="s">
        <v>87</v>
      </c>
      <c r="AB3744" s="2" t="s">
        <v>90</v>
      </c>
      <c r="AC3744" s="2" t="s">
        <v>84</v>
      </c>
      <c r="AF3744" s="2">
        <f t="shared" si="600"/>
        <v>0</v>
      </c>
      <c r="AJ3744" s="2">
        <f t="shared" si="601"/>
        <v>0</v>
      </c>
      <c r="AK3744" s="2">
        <f t="shared" ref="AK3744:AK3775" si="608">T3744-W3744</f>
        <v>7.1050000000000004</v>
      </c>
      <c r="AL3744" s="5">
        <f t="shared" ref="AL3744:AL3766" si="609">(T3744-W3744)/T3744</f>
        <v>0.50750000000000006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607"/>
        <v>0.41111111111111115</v>
      </c>
      <c r="Z3745" s="2" t="s">
        <v>3226</v>
      </c>
      <c r="AA3745" s="2" t="s">
        <v>46</v>
      </c>
      <c r="AB3745" s="2" t="s">
        <v>56</v>
      </c>
      <c r="AC3745" s="2" t="s">
        <v>57</v>
      </c>
      <c r="AF3745" s="2">
        <f t="shared" si="600"/>
        <v>0</v>
      </c>
      <c r="AG3745" s="2">
        <v>10.6</v>
      </c>
      <c r="AH3745" s="2">
        <v>18</v>
      </c>
      <c r="AJ3745" s="2">
        <f t="shared" si="601"/>
        <v>0</v>
      </c>
      <c r="AK3745" s="2">
        <f t="shared" si="608"/>
        <v>7.4</v>
      </c>
      <c r="AL3745" s="5">
        <f t="shared" si="609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07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0"/>
        <v>0</v>
      </c>
      <c r="AJ3746" s="2">
        <f t="shared" si="601"/>
        <v>0</v>
      </c>
      <c r="AK3746" s="2">
        <f t="shared" si="608"/>
        <v>5.14</v>
      </c>
      <c r="AL3746" s="5">
        <f t="shared" si="609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607"/>
        <v>0.42833333333333329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0"/>
        <v>0</v>
      </c>
      <c r="AJ3747" s="2">
        <f t="shared" si="601"/>
        <v>0</v>
      </c>
      <c r="AK3747" s="2">
        <f t="shared" si="608"/>
        <v>5.14</v>
      </c>
      <c r="AL3747" s="5">
        <f t="shared" si="609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607"/>
        <v>0.51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0"/>
        <v>0</v>
      </c>
      <c r="AG3748" s="2">
        <v>2.94</v>
      </c>
      <c r="AJ3748" s="2">
        <f t="shared" si="601"/>
        <v>0</v>
      </c>
      <c r="AK3748" s="2">
        <f t="shared" si="608"/>
        <v>6.12</v>
      </c>
      <c r="AL3748" s="5">
        <f t="shared" si="609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L3749" s="2" t="s">
        <v>99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607"/>
        <v>0.76666666666666672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0"/>
        <v>0</v>
      </c>
      <c r="AJ3749" s="2">
        <f t="shared" si="601"/>
        <v>0</v>
      </c>
      <c r="AK3749" s="2">
        <f t="shared" si="608"/>
        <v>9.66</v>
      </c>
      <c r="AL3749" s="5">
        <f t="shared" si="609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607"/>
        <v>0.4107142857142857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0"/>
        <v>0</v>
      </c>
      <c r="AJ3750" s="2">
        <f t="shared" si="601"/>
        <v>0</v>
      </c>
      <c r="AK3750" s="2">
        <f t="shared" si="608"/>
        <v>3.45</v>
      </c>
      <c r="AL3750" s="5">
        <f t="shared" si="609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607"/>
        <v>0.65206944444444448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0"/>
        <v>0</v>
      </c>
      <c r="AG3751" s="2">
        <v>2.5051000000000001</v>
      </c>
      <c r="AJ3751" s="2">
        <f t="shared" si="601"/>
        <v>0</v>
      </c>
      <c r="AK3751" s="2">
        <f t="shared" si="608"/>
        <v>4.6949000000000005</v>
      </c>
      <c r="AL3751" s="5">
        <f t="shared" si="609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607"/>
        <v>0.80118253968253961</v>
      </c>
      <c r="Z3752" s="2" t="s">
        <v>3226</v>
      </c>
      <c r="AA3752" s="2" t="s">
        <v>87</v>
      </c>
      <c r="AB3752" s="2" t="s">
        <v>90</v>
      </c>
      <c r="AC3752" s="2" t="s">
        <v>84</v>
      </c>
      <c r="AF3752" s="2">
        <f t="shared" si="600"/>
        <v>0</v>
      </c>
      <c r="AJ3752" s="2">
        <f t="shared" si="601"/>
        <v>0</v>
      </c>
      <c r="AK3752" s="2">
        <f t="shared" si="608"/>
        <v>10.094899999999999</v>
      </c>
      <c r="AL3752" s="5">
        <f t="shared" si="609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607"/>
        <v>0.25</v>
      </c>
      <c r="Z3753" s="2" t="s">
        <v>3226</v>
      </c>
      <c r="AA3753" s="2" t="s">
        <v>71</v>
      </c>
      <c r="AB3753" s="2" t="s">
        <v>2897</v>
      </c>
      <c r="AC3753" s="2" t="s">
        <v>2897</v>
      </c>
      <c r="AF3753" s="2">
        <f t="shared" si="600"/>
        <v>0</v>
      </c>
      <c r="AG3753" s="2">
        <v>149.25</v>
      </c>
      <c r="AJ3753" s="2">
        <f t="shared" si="601"/>
        <v>0</v>
      </c>
      <c r="AK3753" s="2">
        <f t="shared" si="608"/>
        <v>49.75</v>
      </c>
      <c r="AL3753" s="5">
        <f t="shared" si="609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607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600"/>
        <v>0</v>
      </c>
      <c r="AJ3754" s="2">
        <f t="shared" si="601"/>
        <v>0</v>
      </c>
      <c r="AK3754" s="2">
        <f t="shared" si="608"/>
        <v>304.87750000000005</v>
      </c>
      <c r="AL3754" s="5">
        <f t="shared" si="609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607"/>
        <v>1</v>
      </c>
      <c r="Z3755" s="2" t="s">
        <v>117</v>
      </c>
      <c r="AA3755" s="2" t="s">
        <v>317</v>
      </c>
      <c r="AF3755" s="2">
        <f t="shared" si="600"/>
        <v>0</v>
      </c>
      <c r="AJ3755" s="2">
        <f t="shared" si="601"/>
        <v>0</v>
      </c>
      <c r="AK3755" s="2">
        <f t="shared" si="608"/>
        <v>1099</v>
      </c>
      <c r="AL3755" s="5">
        <f t="shared" si="609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607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600"/>
        <v>0</v>
      </c>
      <c r="AG3756" s="2">
        <f>W3756</f>
        <v>27.5</v>
      </c>
      <c r="AJ3756" s="2">
        <f t="shared" si="601"/>
        <v>0</v>
      </c>
      <c r="AK3756" s="2">
        <f t="shared" si="608"/>
        <v>27.5</v>
      </c>
      <c r="AL3756" s="5">
        <f t="shared" si="609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607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600"/>
        <v>0</v>
      </c>
      <c r="AG3757" s="2">
        <f>W3757</f>
        <v>25.200000000000003</v>
      </c>
      <c r="AJ3757" s="2">
        <f t="shared" si="601"/>
        <v>0</v>
      </c>
      <c r="AK3757" s="2">
        <f t="shared" si="608"/>
        <v>37.799999999999997</v>
      </c>
      <c r="AL3757" s="5">
        <f t="shared" si="609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607"/>
        <v>0.36923076923076914</v>
      </c>
      <c r="Z3758" s="2" t="s">
        <v>3226</v>
      </c>
      <c r="AA3758" s="2" t="s">
        <v>46</v>
      </c>
      <c r="AB3758" s="2" t="s">
        <v>60</v>
      </c>
      <c r="AC3758" s="2" t="s">
        <v>57</v>
      </c>
      <c r="AF3758" s="2">
        <f t="shared" si="600"/>
        <v>0</v>
      </c>
      <c r="AG3758" s="2">
        <v>8.1999999999999993</v>
      </c>
      <c r="AH3758" s="2">
        <v>13</v>
      </c>
      <c r="AJ3758" s="2">
        <f t="shared" si="601"/>
        <v>0</v>
      </c>
      <c r="AK3758" s="2">
        <f t="shared" si="608"/>
        <v>9.5999999999999979</v>
      </c>
      <c r="AL3758" s="5">
        <f t="shared" si="609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607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600"/>
        <v>0</v>
      </c>
      <c r="AG3759" s="2">
        <f t="shared" ref="AG3759:AG3783" si="610">W3759</f>
        <v>34.375</v>
      </c>
      <c r="AJ3759" s="2">
        <f t="shared" si="601"/>
        <v>0</v>
      </c>
      <c r="AK3759" s="2">
        <f t="shared" si="608"/>
        <v>34.375</v>
      </c>
      <c r="AL3759" s="5">
        <f t="shared" si="609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607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600"/>
        <v>0</v>
      </c>
      <c r="AG3760" s="2">
        <f t="shared" si="610"/>
        <v>20</v>
      </c>
      <c r="AJ3760" s="2">
        <f t="shared" si="601"/>
        <v>0</v>
      </c>
      <c r="AK3760" s="2">
        <f t="shared" si="608"/>
        <v>30</v>
      </c>
      <c r="AL3760" s="5">
        <f t="shared" si="609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607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600"/>
        <v>0</v>
      </c>
      <c r="AG3761" s="2">
        <f t="shared" si="610"/>
        <v>25</v>
      </c>
      <c r="AJ3761" s="2">
        <f t="shared" si="601"/>
        <v>0</v>
      </c>
      <c r="AK3761" s="2">
        <f t="shared" si="608"/>
        <v>25</v>
      </c>
      <c r="AL3761" s="5">
        <f t="shared" si="609"/>
        <v>0.5</v>
      </c>
    </row>
    <row r="3762" spans="1:38" x14ac:dyDescent="0.2">
      <c r="A3762" s="2">
        <v>2026</v>
      </c>
      <c r="B3762" s="2">
        <v>3</v>
      </c>
      <c r="C3762" s="2" t="s">
        <v>3505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607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600"/>
        <v>0</v>
      </c>
      <c r="AG3762" s="2">
        <f t="shared" si="610"/>
        <v>45.6</v>
      </c>
      <c r="AJ3762" s="2">
        <f t="shared" si="601"/>
        <v>0</v>
      </c>
      <c r="AK3762" s="2">
        <f t="shared" si="608"/>
        <v>68.400000000000006</v>
      </c>
      <c r="AL3762" s="5">
        <f t="shared" si="609"/>
        <v>0.60000000000000009</v>
      </c>
    </row>
    <row r="3763" spans="1:38" x14ac:dyDescent="0.2">
      <c r="A3763" s="2">
        <v>2026</v>
      </c>
      <c r="B3763" s="2">
        <v>3</v>
      </c>
      <c r="C3763" s="2" t="s">
        <v>3505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607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600"/>
        <v>0</v>
      </c>
      <c r="AG3763" s="2">
        <f t="shared" si="610"/>
        <v>100</v>
      </c>
      <c r="AJ3763" s="2">
        <f t="shared" si="601"/>
        <v>0</v>
      </c>
      <c r="AK3763" s="2">
        <f t="shared" si="608"/>
        <v>100</v>
      </c>
      <c r="AL3763" s="5">
        <f t="shared" si="609"/>
        <v>0.5</v>
      </c>
    </row>
    <row r="3764" spans="1:38" x14ac:dyDescent="0.2">
      <c r="A3764" s="2">
        <v>2026</v>
      </c>
      <c r="B3764" s="2">
        <v>4</v>
      </c>
      <c r="C3764" s="2" t="s">
        <v>3450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607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600"/>
        <v>0</v>
      </c>
      <c r="AG3764" s="2">
        <f t="shared" si="610"/>
        <v>58.800000000000004</v>
      </c>
      <c r="AJ3764" s="2">
        <f t="shared" si="601"/>
        <v>0</v>
      </c>
      <c r="AK3764" s="2">
        <f t="shared" si="608"/>
        <v>88.199999999999989</v>
      </c>
      <c r="AL3764" s="5">
        <f t="shared" si="609"/>
        <v>0.6</v>
      </c>
    </row>
    <row r="3765" spans="1:38" x14ac:dyDescent="0.2">
      <c r="A3765" s="2">
        <v>2026</v>
      </c>
      <c r="B3765" s="2">
        <v>4</v>
      </c>
      <c r="C3765" s="2" t="s">
        <v>3450</v>
      </c>
      <c r="D3765" s="2" t="s">
        <v>2049</v>
      </c>
      <c r="E3765" s="2" t="s">
        <v>108</v>
      </c>
      <c r="F3765" s="2" t="s">
        <v>39</v>
      </c>
      <c r="G3765" s="2">
        <v>514960337</v>
      </c>
      <c r="H3765" s="2" t="s">
        <v>290</v>
      </c>
      <c r="I3765" s="2" t="s">
        <v>2779</v>
      </c>
      <c r="J3765" s="2" t="s">
        <v>2820</v>
      </c>
      <c r="K3765" s="2">
        <v>914732950</v>
      </c>
      <c r="L3765" s="2" t="s">
        <v>480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607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0"/>
        <v>0</v>
      </c>
      <c r="AG3765" s="2">
        <f t="shared" si="610"/>
        <v>34.375</v>
      </c>
      <c r="AJ3765" s="2">
        <f t="shared" si="601"/>
        <v>0</v>
      </c>
      <c r="AK3765" s="2">
        <f t="shared" si="608"/>
        <v>34.375</v>
      </c>
      <c r="AL3765" s="5">
        <f t="shared" si="609"/>
        <v>0.5</v>
      </c>
    </row>
    <row r="3766" spans="1:38" x14ac:dyDescent="0.2">
      <c r="A3766" s="2">
        <v>2026</v>
      </c>
      <c r="B3766" s="2">
        <v>4</v>
      </c>
      <c r="C3766" s="2" t="s">
        <v>3445</v>
      </c>
      <c r="D3766" s="2" t="s">
        <v>2904</v>
      </c>
      <c r="E3766" s="2" t="s">
        <v>38</v>
      </c>
      <c r="F3766" s="2" t="s">
        <v>3444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607"/>
        <v>0.5</v>
      </c>
      <c r="Y3766" s="2" t="s">
        <v>3300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600"/>
        <v>0</v>
      </c>
      <c r="AG3766" s="2">
        <f t="shared" si="610"/>
        <v>31.45</v>
      </c>
      <c r="AJ3766" s="2">
        <f t="shared" si="601"/>
        <v>0</v>
      </c>
      <c r="AK3766" s="2">
        <f t="shared" si="608"/>
        <v>31.45</v>
      </c>
      <c r="AL3766" s="5">
        <f t="shared" si="609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600"/>
        <v>0</v>
      </c>
      <c r="AG3767" s="2">
        <f t="shared" si="610"/>
        <v>0</v>
      </c>
      <c r="AJ3767" s="2">
        <f t="shared" si="601"/>
        <v>0</v>
      </c>
      <c r="AK3767" s="2">
        <f t="shared" si="608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600"/>
        <v>0</v>
      </c>
      <c r="AG3768" s="2">
        <f t="shared" si="610"/>
        <v>27.5</v>
      </c>
      <c r="AJ3768" s="2">
        <f t="shared" si="601"/>
        <v>0</v>
      </c>
      <c r="AK3768" s="2">
        <f t="shared" si="608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600"/>
        <v>0</v>
      </c>
      <c r="AG3769" s="2">
        <f t="shared" si="610"/>
        <v>65.600000000000009</v>
      </c>
      <c r="AJ3769" s="2">
        <f t="shared" si="601"/>
        <v>0</v>
      </c>
      <c r="AK3769" s="2">
        <f t="shared" si="608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600"/>
        <v>0</v>
      </c>
      <c r="AG3770" s="2">
        <f t="shared" si="610"/>
        <v>41.25</v>
      </c>
      <c r="AJ3770" s="2">
        <f t="shared" si="601"/>
        <v>0</v>
      </c>
      <c r="AK3770" s="2">
        <f t="shared" si="608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600"/>
        <v>0</v>
      </c>
      <c r="AG3771" s="2">
        <f t="shared" si="610"/>
        <v>0</v>
      </c>
      <c r="AJ3771" s="2">
        <f t="shared" si="601"/>
        <v>0</v>
      </c>
      <c r="AK3771" s="2">
        <f t="shared" si="608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600"/>
        <v>0</v>
      </c>
      <c r="AG3772" s="2">
        <f t="shared" si="610"/>
        <v>0</v>
      </c>
      <c r="AJ3772" s="2">
        <f t="shared" si="601"/>
        <v>0</v>
      </c>
      <c r="AK3772" s="2">
        <f t="shared" si="608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611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600"/>
        <v>0</v>
      </c>
      <c r="AG3773" s="2">
        <f t="shared" si="610"/>
        <v>60.400000000000006</v>
      </c>
      <c r="AJ3773" s="2">
        <f t="shared" si="601"/>
        <v>0</v>
      </c>
      <c r="AK3773" s="2">
        <f t="shared" si="608"/>
        <v>90.6</v>
      </c>
      <c r="AL3773" s="5">
        <f t="shared" ref="AL3773:AL3778" si="612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611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600"/>
        <v>0</v>
      </c>
      <c r="AG3774" s="2">
        <f t="shared" si="610"/>
        <v>82.5</v>
      </c>
      <c r="AJ3774" s="2">
        <f t="shared" si="601"/>
        <v>0</v>
      </c>
      <c r="AK3774" s="2">
        <f t="shared" si="608"/>
        <v>82.5</v>
      </c>
      <c r="AL3774" s="5">
        <f t="shared" si="612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611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600"/>
        <v>0</v>
      </c>
      <c r="AG3775" s="2">
        <f t="shared" si="610"/>
        <v>20</v>
      </c>
      <c r="AJ3775" s="2">
        <f t="shared" si="601"/>
        <v>0</v>
      </c>
      <c r="AK3775" s="2">
        <f t="shared" si="608"/>
        <v>30</v>
      </c>
      <c r="AL3775" s="5">
        <f t="shared" si="612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611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600"/>
        <v>0</v>
      </c>
      <c r="AG3776" s="2">
        <f t="shared" si="610"/>
        <v>25</v>
      </c>
      <c r="AJ3776" s="2">
        <f t="shared" si="601"/>
        <v>0</v>
      </c>
      <c r="AK3776" s="2">
        <f t="shared" ref="AK3776:AK3807" si="613">T3776-W3776</f>
        <v>25</v>
      </c>
      <c r="AL3776" s="5">
        <f t="shared" si="612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611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600"/>
        <v>0</v>
      </c>
      <c r="AG3777" s="2">
        <f t="shared" si="610"/>
        <v>22</v>
      </c>
      <c r="AJ3777" s="2">
        <f t="shared" si="601"/>
        <v>0</v>
      </c>
      <c r="AK3777" s="2">
        <f t="shared" si="613"/>
        <v>33</v>
      </c>
      <c r="AL3777" s="5">
        <f t="shared" si="612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611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614">AJ3778</f>
        <v>0</v>
      </c>
      <c r="AG3778" s="2">
        <f t="shared" si="610"/>
        <v>50</v>
      </c>
      <c r="AJ3778" s="2">
        <f t="shared" ref="AJ3778:AJ3841" si="615">AI3778*T3778</f>
        <v>0</v>
      </c>
      <c r="AK3778" s="2">
        <f t="shared" si="613"/>
        <v>50</v>
      </c>
      <c r="AL3778" s="5">
        <f t="shared" si="612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614"/>
        <v>0</v>
      </c>
      <c r="AG3779" s="2">
        <f t="shared" si="610"/>
        <v>0</v>
      </c>
      <c r="AJ3779" s="2">
        <f t="shared" si="615"/>
        <v>0</v>
      </c>
      <c r="AK3779" s="2">
        <f t="shared" si="613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614"/>
        <v>0</v>
      </c>
      <c r="AG3780" s="2">
        <f t="shared" si="610"/>
        <v>0</v>
      </c>
      <c r="AJ3780" s="2">
        <f t="shared" si="615"/>
        <v>0</v>
      </c>
      <c r="AK3780" s="2">
        <f t="shared" si="613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614"/>
        <v>0</v>
      </c>
      <c r="AG3781" s="2">
        <f t="shared" si="610"/>
        <v>20</v>
      </c>
      <c r="AJ3781" s="2">
        <f t="shared" si="615"/>
        <v>0</v>
      </c>
      <c r="AK3781" s="2">
        <f t="shared" si="613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614"/>
        <v>0</v>
      </c>
      <c r="AG3782" s="2">
        <f t="shared" si="610"/>
        <v>25</v>
      </c>
      <c r="AJ3782" s="2">
        <f t="shared" si="615"/>
        <v>0</v>
      </c>
      <c r="AK3782" s="2">
        <f t="shared" si="613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50*40%</f>
        <v>20</v>
      </c>
      <c r="X3783" s="18">
        <f t="shared" ref="X3783" si="616">SIGN(T3783)*((ABS(T3783)-W3783)/ABS(T3783))</f>
        <v>-0.6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614"/>
        <v>0</v>
      </c>
      <c r="AG3783" s="2">
        <f t="shared" si="610"/>
        <v>20</v>
      </c>
      <c r="AJ3783" s="2">
        <f t="shared" si="615"/>
        <v>0</v>
      </c>
      <c r="AK3783" s="2">
        <f t="shared" si="613"/>
        <v>-70</v>
      </c>
      <c r="AL3783" s="18">
        <f t="shared" ref="AL3783" si="617">SIGN(T3783)*((ABS(T3783)-W3783)/ABS(T3783))</f>
        <v>-0.6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614"/>
        <v>0</v>
      </c>
      <c r="AJ3784" s="2">
        <f t="shared" si="615"/>
        <v>0</v>
      </c>
      <c r="AK3784" s="2">
        <f t="shared" si="613"/>
        <v>2</v>
      </c>
      <c r="AL3784" s="5">
        <f t="shared" ref="AL3784:AL3792" si="618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W3785" s="2">
        <f>50*50%</f>
        <v>25</v>
      </c>
      <c r="X3785" s="18">
        <f t="shared" ref="X3785" si="619">SIGN(T3785)*((ABS(T3785)-W3785)/ABS(T3785))</f>
        <v>-0.5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614"/>
        <v>0</v>
      </c>
      <c r="AG3785" s="2">
        <f t="shared" ref="AG3785:AG3809" si="620">W3785</f>
        <v>25</v>
      </c>
      <c r="AJ3785" s="2">
        <f t="shared" si="615"/>
        <v>0</v>
      </c>
      <c r="AK3785" s="2">
        <f t="shared" si="613"/>
        <v>-75</v>
      </c>
      <c r="AL3785" s="18">
        <f t="shared" ref="AL3785" si="621">SIGN(T3785)*((ABS(T3785)-W3785)/ABS(T3785))</f>
        <v>-0.5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622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614"/>
        <v>0</v>
      </c>
      <c r="AG3786" s="2">
        <f t="shared" si="620"/>
        <v>20</v>
      </c>
      <c r="AJ3786" s="2">
        <f t="shared" si="615"/>
        <v>0</v>
      </c>
      <c r="AK3786" s="2">
        <f t="shared" si="613"/>
        <v>30</v>
      </c>
      <c r="AL3786" s="5">
        <f t="shared" si="618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622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614"/>
        <v>0</v>
      </c>
      <c r="AG3787" s="2">
        <f t="shared" si="620"/>
        <v>25</v>
      </c>
      <c r="AJ3787" s="2">
        <f t="shared" si="615"/>
        <v>0</v>
      </c>
      <c r="AK3787" s="2">
        <f t="shared" si="613"/>
        <v>25</v>
      </c>
      <c r="AL3787" s="5">
        <f t="shared" si="618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622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614"/>
        <v>0</v>
      </c>
      <c r="AG3788" s="2">
        <f t="shared" si="620"/>
        <v>22</v>
      </c>
      <c r="AJ3788" s="2">
        <f t="shared" si="615"/>
        <v>0</v>
      </c>
      <c r="AK3788" s="2">
        <f t="shared" si="613"/>
        <v>33</v>
      </c>
      <c r="AL3788" s="5">
        <f t="shared" si="618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622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614"/>
        <v>0</v>
      </c>
      <c r="AG3789" s="2">
        <f t="shared" si="620"/>
        <v>27.5</v>
      </c>
      <c r="AJ3789" s="2">
        <f t="shared" si="615"/>
        <v>0</v>
      </c>
      <c r="AK3789" s="2">
        <f t="shared" si="613"/>
        <v>27.5</v>
      </c>
      <c r="AL3789" s="5">
        <f t="shared" si="618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622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614"/>
        <v>0</v>
      </c>
      <c r="AG3790" s="2">
        <f t="shared" si="620"/>
        <v>33.200000000000003</v>
      </c>
      <c r="AJ3790" s="2">
        <f t="shared" si="615"/>
        <v>0</v>
      </c>
      <c r="AK3790" s="2">
        <f t="shared" si="613"/>
        <v>49.8</v>
      </c>
      <c r="AL3790" s="5">
        <f t="shared" si="618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622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614"/>
        <v>0</v>
      </c>
      <c r="AG3791" s="2">
        <f t="shared" si="620"/>
        <v>20.625</v>
      </c>
      <c r="AJ3791" s="2">
        <f t="shared" si="615"/>
        <v>0</v>
      </c>
      <c r="AK3791" s="2">
        <f t="shared" si="613"/>
        <v>20.625</v>
      </c>
      <c r="AL3791" s="5">
        <f t="shared" si="618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622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614"/>
        <v>0</v>
      </c>
      <c r="AG3792" s="2">
        <f t="shared" si="620"/>
        <v>25.200000000000003</v>
      </c>
      <c r="AJ3792" s="2">
        <f t="shared" si="615"/>
        <v>0</v>
      </c>
      <c r="AK3792" s="2">
        <f t="shared" si="613"/>
        <v>37.799999999999997</v>
      </c>
      <c r="AL3792" s="5">
        <f t="shared" si="618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614"/>
        <v>0</v>
      </c>
      <c r="AG3793" s="2">
        <f t="shared" si="620"/>
        <v>0</v>
      </c>
      <c r="AJ3793" s="2">
        <f t="shared" si="615"/>
        <v>0</v>
      </c>
      <c r="AK3793" s="2">
        <f t="shared" si="613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614"/>
        <v>0</v>
      </c>
      <c r="AG3794" s="2">
        <f t="shared" si="620"/>
        <v>228.8</v>
      </c>
      <c r="AJ3794" s="2">
        <f t="shared" si="615"/>
        <v>0</v>
      </c>
      <c r="AK3794" s="2">
        <f t="shared" si="613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614"/>
        <v>0</v>
      </c>
      <c r="AG3795" s="2">
        <f t="shared" si="620"/>
        <v>50</v>
      </c>
      <c r="AJ3795" s="2">
        <f t="shared" si="615"/>
        <v>0</v>
      </c>
      <c r="AK3795" s="2">
        <f t="shared" si="613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286*40%</f>
        <v>114.4</v>
      </c>
      <c r="X3796" s="18">
        <f t="shared" ref="X3796:X3797" si="623">SIGN(T3796)*((ABS(T3796)-W3796)/ABS(T3796))</f>
        <v>-0.6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614"/>
        <v>0</v>
      </c>
      <c r="AG3796" s="2">
        <f t="shared" si="620"/>
        <v>114.4</v>
      </c>
      <c r="AJ3796" s="2">
        <f t="shared" si="615"/>
        <v>0</v>
      </c>
      <c r="AK3796" s="2">
        <f t="shared" si="613"/>
        <v>-400.4</v>
      </c>
      <c r="AL3796" s="18">
        <f t="shared" ref="AL3796:AL3797" si="624">SIGN(T3796)*((ABS(T3796)-W3796)/ABS(T3796))</f>
        <v>-0.6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W3797" s="2">
        <f>50*50%</f>
        <v>25</v>
      </c>
      <c r="X3797" s="18">
        <f t="shared" si="623"/>
        <v>-0.5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614"/>
        <v>0</v>
      </c>
      <c r="AG3797" s="2">
        <f t="shared" si="620"/>
        <v>25</v>
      </c>
      <c r="AJ3797" s="2">
        <f t="shared" si="615"/>
        <v>0</v>
      </c>
      <c r="AK3797" s="2">
        <f t="shared" si="613"/>
        <v>-75</v>
      </c>
      <c r="AL3797" s="18">
        <f t="shared" si="624"/>
        <v>-0.5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625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614"/>
        <v>0</v>
      </c>
      <c r="AG3798" s="2">
        <f t="shared" si="620"/>
        <v>71.2</v>
      </c>
      <c r="AJ3798" s="2">
        <f t="shared" si="615"/>
        <v>0</v>
      </c>
      <c r="AK3798" s="2">
        <f t="shared" si="613"/>
        <v>106.8</v>
      </c>
      <c r="AL3798" s="5">
        <f t="shared" ref="AL3798:AL3825" si="626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625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614"/>
        <v>0</v>
      </c>
      <c r="AG3799" s="2">
        <f t="shared" si="620"/>
        <v>41.25</v>
      </c>
      <c r="AJ3799" s="2">
        <f t="shared" si="615"/>
        <v>0</v>
      </c>
      <c r="AK3799" s="2">
        <f t="shared" si="613"/>
        <v>41.25</v>
      </c>
      <c r="AL3799" s="5">
        <f t="shared" si="626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625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614"/>
        <v>0</v>
      </c>
      <c r="AG3800" s="2">
        <f t="shared" si="620"/>
        <v>22</v>
      </c>
      <c r="AJ3800" s="2">
        <f t="shared" si="615"/>
        <v>0</v>
      </c>
      <c r="AK3800" s="2">
        <f t="shared" si="613"/>
        <v>33</v>
      </c>
      <c r="AL3800" s="5">
        <f t="shared" si="626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625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614"/>
        <v>0</v>
      </c>
      <c r="AG3801" s="2">
        <f t="shared" si="620"/>
        <v>27.5</v>
      </c>
      <c r="AJ3801" s="2">
        <f t="shared" si="615"/>
        <v>0</v>
      </c>
      <c r="AK3801" s="2">
        <f t="shared" si="613"/>
        <v>27.5</v>
      </c>
      <c r="AL3801" s="5">
        <f t="shared" si="626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625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614"/>
        <v>0</v>
      </c>
      <c r="AG3802" s="2">
        <f t="shared" si="620"/>
        <v>31.6</v>
      </c>
      <c r="AJ3802" s="2">
        <f t="shared" si="615"/>
        <v>0</v>
      </c>
      <c r="AK3802" s="2">
        <f t="shared" si="613"/>
        <v>47.4</v>
      </c>
      <c r="AL3802" s="5">
        <f t="shared" si="626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625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614"/>
        <v>0</v>
      </c>
      <c r="AG3803" s="2">
        <f t="shared" si="620"/>
        <v>50</v>
      </c>
      <c r="AJ3803" s="2">
        <f t="shared" si="615"/>
        <v>0</v>
      </c>
      <c r="AK3803" s="2">
        <f t="shared" si="613"/>
        <v>50</v>
      </c>
      <c r="AL3803" s="5">
        <f t="shared" si="626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625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614"/>
        <v>0</v>
      </c>
      <c r="AG3804" s="2">
        <f t="shared" si="620"/>
        <v>33.200000000000003</v>
      </c>
      <c r="AJ3804" s="2">
        <f t="shared" si="615"/>
        <v>0</v>
      </c>
      <c r="AK3804" s="2">
        <f t="shared" si="613"/>
        <v>49.8</v>
      </c>
      <c r="AL3804" s="5">
        <f t="shared" si="626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625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614"/>
        <v>0</v>
      </c>
      <c r="AG3805" s="2">
        <f t="shared" si="620"/>
        <v>27.5</v>
      </c>
      <c r="AJ3805" s="2">
        <f t="shared" si="615"/>
        <v>0</v>
      </c>
      <c r="AK3805" s="2">
        <f t="shared" si="613"/>
        <v>27.5</v>
      </c>
      <c r="AL3805" s="5">
        <f t="shared" si="626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625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614"/>
        <v>0</v>
      </c>
      <c r="AG3806" s="2">
        <f t="shared" si="620"/>
        <v>24.400000000000002</v>
      </c>
      <c r="AJ3806" s="2">
        <f t="shared" si="615"/>
        <v>0</v>
      </c>
      <c r="AK3806" s="2">
        <f t="shared" si="613"/>
        <v>36.599999999999994</v>
      </c>
      <c r="AL3806" s="5">
        <f t="shared" si="626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625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614"/>
        <v>0</v>
      </c>
      <c r="AG3807" s="2">
        <f t="shared" si="620"/>
        <v>27.5</v>
      </c>
      <c r="AJ3807" s="2">
        <f t="shared" si="615"/>
        <v>0</v>
      </c>
      <c r="AK3807" s="2">
        <f t="shared" si="613"/>
        <v>27.5</v>
      </c>
      <c r="AL3807" s="5">
        <f t="shared" si="626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625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614"/>
        <v>0</v>
      </c>
      <c r="AG3808" s="2">
        <f t="shared" si="620"/>
        <v>26.8</v>
      </c>
      <c r="AJ3808" s="2">
        <f t="shared" si="615"/>
        <v>0</v>
      </c>
      <c r="AK3808" s="2">
        <f t="shared" ref="AK3808:AK3827" si="627">T3808-W3808</f>
        <v>40.200000000000003</v>
      </c>
      <c r="AL3808" s="5">
        <f t="shared" si="626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625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614"/>
        <v>0</v>
      </c>
      <c r="AG3809" s="2">
        <f t="shared" si="620"/>
        <v>27.5</v>
      </c>
      <c r="AJ3809" s="2">
        <f t="shared" si="615"/>
        <v>0</v>
      </c>
      <c r="AK3809" s="2">
        <f t="shared" si="627"/>
        <v>27.5</v>
      </c>
      <c r="AL3809" s="5">
        <f t="shared" si="626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625"/>
        <v>-0.25</v>
      </c>
      <c r="Z3810" s="2" t="s">
        <v>169</v>
      </c>
      <c r="AA3810" s="2" t="s">
        <v>169</v>
      </c>
      <c r="AF3810" s="2">
        <f t="shared" si="614"/>
        <v>0</v>
      </c>
      <c r="AJ3810" s="2">
        <f t="shared" si="615"/>
        <v>0</v>
      </c>
      <c r="AK3810" s="2">
        <f t="shared" si="627"/>
        <v>-30</v>
      </c>
      <c r="AL3810" s="5">
        <f t="shared" si="626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25"/>
        <v>-0.2</v>
      </c>
      <c r="Z3811" s="2" t="s">
        <v>169</v>
      </c>
      <c r="AA3811" s="2" t="s">
        <v>169</v>
      </c>
      <c r="AF3811" s="2">
        <f t="shared" si="614"/>
        <v>0</v>
      </c>
      <c r="AJ3811" s="2">
        <f t="shared" si="615"/>
        <v>0</v>
      </c>
      <c r="AK3811" s="2">
        <f t="shared" si="627"/>
        <v>-1</v>
      </c>
      <c r="AL3811" s="5">
        <f t="shared" si="626"/>
        <v>-0.2</v>
      </c>
    </row>
    <row r="3812" spans="1:38" x14ac:dyDescent="0.2">
      <c r="A3812" s="2">
        <v>2026</v>
      </c>
      <c r="B3812" s="2">
        <v>4</v>
      </c>
      <c r="C3812" s="2" t="s">
        <v>3450</v>
      </c>
      <c r="D3812" s="2" t="s">
        <v>2049</v>
      </c>
      <c r="E3812" s="2" t="s">
        <v>108</v>
      </c>
      <c r="F3812" s="2" t="s">
        <v>39</v>
      </c>
      <c r="G3812" s="2">
        <v>514960337</v>
      </c>
      <c r="H3812" s="2" t="s">
        <v>290</v>
      </c>
      <c r="I3812" s="2" t="s">
        <v>2779</v>
      </c>
      <c r="J3812" s="2" t="s">
        <v>2820</v>
      </c>
      <c r="K3812" s="2">
        <v>914732950</v>
      </c>
      <c r="L3812" s="2" t="s">
        <v>480</v>
      </c>
      <c r="M3812" s="2" t="s">
        <v>40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625"/>
        <v>-0.2</v>
      </c>
      <c r="Z3812" s="2" t="s">
        <v>169</v>
      </c>
      <c r="AA3812" s="2" t="s">
        <v>169</v>
      </c>
      <c r="AF3812" s="2">
        <f t="shared" si="614"/>
        <v>0</v>
      </c>
      <c r="AJ3812" s="2">
        <f t="shared" si="615"/>
        <v>0</v>
      </c>
      <c r="AK3812" s="2">
        <f t="shared" si="627"/>
        <v>-1</v>
      </c>
      <c r="AL3812" s="5">
        <f t="shared" si="626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625"/>
        <v>0.23333333333333334</v>
      </c>
      <c r="Z3813" s="2" t="s">
        <v>169</v>
      </c>
      <c r="AA3813" s="2" t="s">
        <v>169</v>
      </c>
      <c r="AF3813" s="2">
        <f t="shared" si="614"/>
        <v>0</v>
      </c>
      <c r="AJ3813" s="2">
        <f t="shared" si="615"/>
        <v>0</v>
      </c>
      <c r="AK3813" s="2">
        <f t="shared" si="627"/>
        <v>7</v>
      </c>
      <c r="AL3813" s="5">
        <f t="shared" si="626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625"/>
        <v>0.25</v>
      </c>
      <c r="Z3814" s="2" t="s">
        <v>169</v>
      </c>
      <c r="AA3814" s="2" t="s">
        <v>169</v>
      </c>
      <c r="AF3814" s="2">
        <f t="shared" si="614"/>
        <v>0</v>
      </c>
      <c r="AJ3814" s="2">
        <f t="shared" si="615"/>
        <v>0</v>
      </c>
      <c r="AK3814" s="2">
        <f t="shared" si="627"/>
        <v>2</v>
      </c>
      <c r="AL3814" s="5">
        <f t="shared" si="626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625"/>
        <v>-0.53333333333333333</v>
      </c>
      <c r="Z3815" s="2" t="s">
        <v>169</v>
      </c>
      <c r="AA3815" s="2" t="s">
        <v>169</v>
      </c>
      <c r="AF3815" s="2">
        <f t="shared" si="614"/>
        <v>0</v>
      </c>
      <c r="AJ3815" s="2">
        <f t="shared" si="615"/>
        <v>0</v>
      </c>
      <c r="AK3815" s="2">
        <f t="shared" si="627"/>
        <v>-8</v>
      </c>
      <c r="AL3815" s="5">
        <f t="shared" si="626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625"/>
        <v>0.23333333333333334</v>
      </c>
      <c r="Z3816" s="2" t="s">
        <v>169</v>
      </c>
      <c r="AA3816" s="2" t="s">
        <v>169</v>
      </c>
      <c r="AF3816" s="2">
        <f t="shared" si="614"/>
        <v>0</v>
      </c>
      <c r="AG3816" s="2">
        <v>23</v>
      </c>
      <c r="AJ3816" s="2">
        <f t="shared" si="615"/>
        <v>0</v>
      </c>
      <c r="AK3816" s="2">
        <f t="shared" si="627"/>
        <v>7</v>
      </c>
      <c r="AL3816" s="5">
        <f t="shared" si="626"/>
        <v>0.23333333333333334</v>
      </c>
    </row>
    <row r="3817" spans="1:38" x14ac:dyDescent="0.2">
      <c r="A3817" s="2">
        <v>2026</v>
      </c>
      <c r="B3817" s="2">
        <v>4</v>
      </c>
      <c r="C3817" s="2" t="s">
        <v>3468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X3817" s="18"/>
      <c r="Z3817" s="2" t="s">
        <v>119</v>
      </c>
      <c r="AA3817" s="2" t="s">
        <v>142</v>
      </c>
      <c r="AF3817" s="2">
        <f t="shared" si="614"/>
        <v>0</v>
      </c>
      <c r="AJ3817" s="2">
        <f t="shared" si="615"/>
        <v>0</v>
      </c>
      <c r="AK3817" s="2">
        <f t="shared" si="627"/>
        <v>-231.07</v>
      </c>
      <c r="AL3817" s="18"/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628">(T3818-W3818)/T3818</f>
        <v>2.000401846171453E-16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14"/>
        <v>0</v>
      </c>
      <c r="AJ3818" s="2">
        <f t="shared" si="615"/>
        <v>0</v>
      </c>
      <c r="AK3818" s="2">
        <f t="shared" si="627"/>
        <v>0</v>
      </c>
      <c r="AL3818" s="5">
        <f t="shared" si="626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28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14"/>
        <v>0</v>
      </c>
      <c r="AG3819" s="2">
        <v>1.48</v>
      </c>
      <c r="AH3819" s="2">
        <v>1.48</v>
      </c>
      <c r="AJ3819" s="2">
        <f t="shared" si="615"/>
        <v>0</v>
      </c>
      <c r="AK3819" s="2">
        <f t="shared" si="627"/>
        <v>0</v>
      </c>
      <c r="AL3819" s="5">
        <f t="shared" si="626"/>
        <v>0</v>
      </c>
    </row>
    <row r="3820" spans="1:38" x14ac:dyDescent="0.2">
      <c r="A3820" s="2">
        <v>2026</v>
      </c>
      <c r="B3820" s="2">
        <v>4</v>
      </c>
      <c r="C3820" s="2" t="s">
        <v>3468</v>
      </c>
      <c r="D3820" s="2" t="s">
        <v>198</v>
      </c>
      <c r="E3820" s="2" t="s">
        <v>108</v>
      </c>
      <c r="F3820" s="2" t="s">
        <v>39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M3820" s="2" t="s">
        <v>41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28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14"/>
        <v>0</v>
      </c>
      <c r="AJ3820" s="2">
        <f t="shared" si="615"/>
        <v>0</v>
      </c>
      <c r="AK3820" s="2">
        <f t="shared" si="627"/>
        <v>0</v>
      </c>
      <c r="AL3820" s="5">
        <f t="shared" si="626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28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14"/>
        <v>0</v>
      </c>
      <c r="AJ3821" s="2">
        <f t="shared" si="615"/>
        <v>0</v>
      </c>
      <c r="AK3821" s="2">
        <f t="shared" si="627"/>
        <v>0</v>
      </c>
      <c r="AL3821" s="5">
        <f t="shared" si="626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28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14"/>
        <v>0</v>
      </c>
      <c r="AJ3822" s="2">
        <f t="shared" si="615"/>
        <v>0</v>
      </c>
      <c r="AK3822" s="2">
        <f t="shared" si="627"/>
        <v>0</v>
      </c>
      <c r="AL3822" s="5">
        <f t="shared" si="626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28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14"/>
        <v>0</v>
      </c>
      <c r="AG3823" s="2">
        <v>1.48</v>
      </c>
      <c r="AH3823" s="2">
        <v>1.48</v>
      </c>
      <c r="AJ3823" s="2">
        <f t="shared" si="615"/>
        <v>0</v>
      </c>
      <c r="AK3823" s="2">
        <f t="shared" si="627"/>
        <v>0</v>
      </c>
      <c r="AL3823" s="5">
        <f t="shared" si="626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28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14"/>
        <v>0</v>
      </c>
      <c r="AJ3824" s="2">
        <f t="shared" si="615"/>
        <v>0</v>
      </c>
      <c r="AK3824" s="2">
        <f t="shared" si="627"/>
        <v>0</v>
      </c>
      <c r="AL3824" s="5">
        <f t="shared" si="626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628"/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14"/>
        <v>0</v>
      </c>
      <c r="AG3825" s="2">
        <v>1.48</v>
      </c>
      <c r="AH3825" s="2">
        <v>1.48</v>
      </c>
      <c r="AJ3825" s="2">
        <f t="shared" si="615"/>
        <v>0</v>
      </c>
      <c r="AK3825" s="2">
        <f t="shared" si="627"/>
        <v>0</v>
      </c>
      <c r="AL3825" s="5">
        <f t="shared" si="626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14"/>
        <v>0</v>
      </c>
      <c r="AJ3826" s="2">
        <f t="shared" si="615"/>
        <v>0</v>
      </c>
      <c r="AK3826" s="2">
        <f t="shared" si="627"/>
        <v>-2.96</v>
      </c>
      <c r="AL3826" s="18">
        <f t="shared" ref="AL3826:AL3827" si="629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14"/>
        <v>0</v>
      </c>
      <c r="AJ3827" s="2">
        <f t="shared" si="615"/>
        <v>0</v>
      </c>
      <c r="AK3827" s="2">
        <f t="shared" si="627"/>
        <v>-2.96</v>
      </c>
      <c r="AL3827" s="18">
        <f t="shared" si="629"/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630">(T3828-W3828)/T3828</f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14"/>
        <v>0</v>
      </c>
      <c r="AJ3828" s="2">
        <f t="shared" si="615"/>
        <v>0</v>
      </c>
      <c r="AK3828" s="2">
        <f t="shared" ref="AK3828:AK3859" si="631">T3828-W3828</f>
        <v>0</v>
      </c>
      <c r="AL3828" s="5">
        <f t="shared" ref="AL3828:AL3844" si="632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0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14"/>
        <v>0</v>
      </c>
      <c r="AG3829" s="2">
        <v>1.48</v>
      </c>
      <c r="AH3829" s="2">
        <v>1.48</v>
      </c>
      <c r="AJ3829" s="2">
        <f t="shared" si="615"/>
        <v>0</v>
      </c>
      <c r="AK3829" s="2">
        <f t="shared" si="631"/>
        <v>0</v>
      </c>
      <c r="AL3829" s="5">
        <f t="shared" si="632"/>
        <v>0</v>
      </c>
    </row>
    <row r="3830" spans="1:38" x14ac:dyDescent="0.2">
      <c r="A3830" s="2">
        <v>2026</v>
      </c>
      <c r="B3830" s="2">
        <v>4</v>
      </c>
      <c r="C3830" s="2" t="s">
        <v>3445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0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14"/>
        <v>0</v>
      </c>
      <c r="AJ3830" s="2">
        <f t="shared" si="615"/>
        <v>0</v>
      </c>
      <c r="AK3830" s="2">
        <f t="shared" si="631"/>
        <v>0</v>
      </c>
      <c r="AL3830" s="5">
        <f t="shared" si="632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0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14"/>
        <v>0</v>
      </c>
      <c r="AJ3831" s="2">
        <f t="shared" si="615"/>
        <v>0</v>
      </c>
      <c r="AK3831" s="2">
        <f t="shared" si="631"/>
        <v>0</v>
      </c>
      <c r="AL3831" s="5">
        <f t="shared" si="632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0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14"/>
        <v>0</v>
      </c>
      <c r="AG3832" s="2">
        <v>1.48</v>
      </c>
      <c r="AH3832" s="2">
        <v>1.48</v>
      </c>
      <c r="AJ3832" s="2">
        <f t="shared" si="615"/>
        <v>0</v>
      </c>
      <c r="AK3832" s="2">
        <f t="shared" si="631"/>
        <v>0</v>
      </c>
      <c r="AL3832" s="5">
        <f t="shared" si="632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0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14"/>
        <v>0</v>
      </c>
      <c r="AJ3833" s="2">
        <f t="shared" si="615"/>
        <v>0</v>
      </c>
      <c r="AK3833" s="2">
        <f t="shared" si="631"/>
        <v>0</v>
      </c>
      <c r="AL3833" s="5">
        <f t="shared" si="632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630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14"/>
        <v>0</v>
      </c>
      <c r="AJ3834" s="2">
        <f t="shared" si="615"/>
        <v>0</v>
      </c>
      <c r="AK3834" s="2">
        <f t="shared" si="631"/>
        <v>0</v>
      </c>
      <c r="AL3834" s="5">
        <f t="shared" si="632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630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14"/>
        <v>0</v>
      </c>
      <c r="AG3835" s="2">
        <v>1.48</v>
      </c>
      <c r="AH3835" s="2">
        <v>1.48</v>
      </c>
      <c r="AJ3835" s="2">
        <f t="shared" si="615"/>
        <v>0</v>
      </c>
      <c r="AK3835" s="2">
        <f t="shared" si="631"/>
        <v>0</v>
      </c>
      <c r="AL3835" s="5">
        <f t="shared" si="632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630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14"/>
        <v>0</v>
      </c>
      <c r="AJ3836" s="2">
        <f t="shared" si="615"/>
        <v>0</v>
      </c>
      <c r="AK3836" s="2">
        <f t="shared" si="631"/>
        <v>0</v>
      </c>
      <c r="AL3836" s="5">
        <f t="shared" si="632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630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14"/>
        <v>0</v>
      </c>
      <c r="AJ3837" s="2">
        <f t="shared" si="615"/>
        <v>0</v>
      </c>
      <c r="AK3837" s="2">
        <f t="shared" si="631"/>
        <v>0</v>
      </c>
      <c r="AL3837" s="5">
        <f t="shared" si="632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630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14"/>
        <v>0</v>
      </c>
      <c r="AG3838" s="2">
        <v>1.48</v>
      </c>
      <c r="AH3838" s="2">
        <v>1.48</v>
      </c>
      <c r="AJ3838" s="2">
        <f t="shared" si="615"/>
        <v>0</v>
      </c>
      <c r="AK3838" s="2">
        <f t="shared" si="631"/>
        <v>0</v>
      </c>
      <c r="AL3838" s="5">
        <f t="shared" si="632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630"/>
        <v>0</v>
      </c>
      <c r="Z3839" s="2" t="s">
        <v>3226</v>
      </c>
      <c r="AA3839" s="2" t="s">
        <v>96</v>
      </c>
      <c r="AB3839" s="2" t="s">
        <v>76</v>
      </c>
      <c r="AC3839" s="2" t="s">
        <v>93</v>
      </c>
      <c r="AF3839" s="2">
        <f t="shared" si="614"/>
        <v>0</v>
      </c>
      <c r="AJ3839" s="2">
        <f t="shared" si="615"/>
        <v>0</v>
      </c>
      <c r="AK3839" s="2">
        <f t="shared" si="631"/>
        <v>0</v>
      </c>
      <c r="AL3839" s="5">
        <f t="shared" si="632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614"/>
        <v>0</v>
      </c>
      <c r="AJ3840" s="2">
        <f t="shared" si="615"/>
        <v>0</v>
      </c>
      <c r="AK3840" s="2">
        <f t="shared" si="631"/>
        <v>0</v>
      </c>
      <c r="AL3840" s="5" t="e">
        <f t="shared" si="632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3379</v>
      </c>
      <c r="AF3841" s="2">
        <f t="shared" si="614"/>
        <v>0</v>
      </c>
      <c r="AJ3841" s="2">
        <f t="shared" si="615"/>
        <v>0</v>
      </c>
      <c r="AK3841" s="2">
        <f t="shared" si="631"/>
        <v>72.37</v>
      </c>
      <c r="AL3841" s="5">
        <f t="shared" si="632"/>
        <v>1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3226</v>
      </c>
      <c r="AA3842" s="2" t="s">
        <v>119</v>
      </c>
      <c r="AF3842" s="2">
        <f t="shared" ref="AF3842:AF3905" si="633">AJ3842</f>
        <v>0</v>
      </c>
      <c r="AJ3842" s="2">
        <f t="shared" ref="AJ3842:AJ3905" si="634">AI3842*T3842</f>
        <v>0</v>
      </c>
      <c r="AK3842" s="2">
        <f t="shared" si="631"/>
        <v>286.36</v>
      </c>
      <c r="AL3842" s="5">
        <f t="shared" si="632"/>
        <v>1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3379</v>
      </c>
      <c r="AF3843" s="2">
        <f t="shared" si="633"/>
        <v>0</v>
      </c>
      <c r="AJ3843" s="2">
        <f t="shared" si="634"/>
        <v>0</v>
      </c>
      <c r="AK3843" s="2">
        <f t="shared" si="631"/>
        <v>75.25</v>
      </c>
      <c r="AL3843" s="5">
        <f t="shared" si="632"/>
        <v>1</v>
      </c>
    </row>
    <row r="3844" spans="1:38" x14ac:dyDescent="0.2">
      <c r="A3844" s="2">
        <v>2026</v>
      </c>
      <c r="B3844" s="2">
        <v>5</v>
      </c>
      <c r="C3844" s="2" t="s">
        <v>3369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3226</v>
      </c>
      <c r="AA3844" s="2" t="s">
        <v>155</v>
      </c>
      <c r="AB3844" s="2" t="s">
        <v>1941</v>
      </c>
      <c r="AC3844" s="2" t="s">
        <v>152</v>
      </c>
      <c r="AF3844" s="2">
        <f t="shared" si="633"/>
        <v>0</v>
      </c>
      <c r="AJ3844" s="2">
        <f t="shared" si="634"/>
        <v>0</v>
      </c>
      <c r="AK3844" s="2">
        <f t="shared" si="631"/>
        <v>8.4</v>
      </c>
      <c r="AL3844" s="5">
        <f t="shared" si="63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3226</v>
      </c>
      <c r="AA3845" s="2" t="s">
        <v>46</v>
      </c>
      <c r="AB3845" s="2" t="s">
        <v>47</v>
      </c>
      <c r="AC3845" s="2" t="s">
        <v>57</v>
      </c>
      <c r="AF3845" s="2">
        <f t="shared" si="633"/>
        <v>0</v>
      </c>
      <c r="AG3845" s="2">
        <v>6.6266999999999996</v>
      </c>
      <c r="AH3845" s="2">
        <v>12</v>
      </c>
      <c r="AJ3845" s="2">
        <f t="shared" si="634"/>
        <v>0</v>
      </c>
      <c r="AK3845" s="2">
        <f t="shared" si="63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635">(T3846-W3846)/T3846</f>
        <v>0.24822695035460993</v>
      </c>
      <c r="Z3846" s="2" t="s">
        <v>3226</v>
      </c>
      <c r="AA3846" s="2" t="s">
        <v>46</v>
      </c>
      <c r="AB3846" s="2" t="s">
        <v>56</v>
      </c>
      <c r="AC3846" s="2" t="s">
        <v>57</v>
      </c>
      <c r="AF3846" s="2">
        <f t="shared" si="633"/>
        <v>0</v>
      </c>
      <c r="AG3846" s="2">
        <v>10.6</v>
      </c>
      <c r="AH3846" s="2">
        <v>18</v>
      </c>
      <c r="AJ3846" s="2">
        <f t="shared" si="634"/>
        <v>0</v>
      </c>
      <c r="AK3846" s="2">
        <f t="shared" si="631"/>
        <v>17.5</v>
      </c>
      <c r="AL3846" s="5">
        <f t="shared" ref="AL3846:AL3877" si="63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635"/>
        <v>0.30212765957446802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33"/>
        <v>0</v>
      </c>
      <c r="AG3847" s="2">
        <v>8.1999999999999993</v>
      </c>
      <c r="AH3847" s="2">
        <v>13</v>
      </c>
      <c r="AJ3847" s="2">
        <f t="shared" si="634"/>
        <v>0</v>
      </c>
      <c r="AK3847" s="2">
        <f t="shared" si="631"/>
        <v>14.199999999999996</v>
      </c>
      <c r="AL3847" s="5">
        <f t="shared" si="63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635"/>
        <v>0.5243888888888889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33"/>
        <v>0</v>
      </c>
      <c r="AG3848" s="2">
        <v>0.85609999999999997</v>
      </c>
      <c r="AH3848" s="2">
        <v>1.8</v>
      </c>
      <c r="AJ3848" s="2">
        <f t="shared" si="634"/>
        <v>0</v>
      </c>
      <c r="AK3848" s="2">
        <f t="shared" si="631"/>
        <v>18.878</v>
      </c>
      <c r="AL3848" s="5">
        <f t="shared" si="63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635"/>
        <v>0.62926666666666664</v>
      </c>
      <c r="Z3849" s="2" t="s">
        <v>3226</v>
      </c>
      <c r="AA3849" s="2" t="s">
        <v>46</v>
      </c>
      <c r="AB3849" s="2" t="s">
        <v>60</v>
      </c>
      <c r="AC3849" s="2" t="s">
        <v>57</v>
      </c>
      <c r="AF3849" s="2">
        <f t="shared" si="633"/>
        <v>0</v>
      </c>
      <c r="AG3849" s="2">
        <v>1.1122000000000001</v>
      </c>
      <c r="AH3849" s="2">
        <v>3</v>
      </c>
      <c r="AJ3849" s="2">
        <f t="shared" si="634"/>
        <v>0</v>
      </c>
      <c r="AK3849" s="2">
        <f t="shared" si="631"/>
        <v>32.092599999999997</v>
      </c>
      <c r="AL3849" s="5">
        <f t="shared" si="63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635"/>
        <v>0.35396559139784944</v>
      </c>
      <c r="Z3850" s="2" t="s">
        <v>3226</v>
      </c>
      <c r="AA3850" s="2" t="s">
        <v>46</v>
      </c>
      <c r="AB3850" s="2" t="s">
        <v>67</v>
      </c>
      <c r="AC3850" s="2" t="s">
        <v>57</v>
      </c>
      <c r="AF3850" s="2">
        <f t="shared" si="633"/>
        <v>0</v>
      </c>
      <c r="AG3850" s="2">
        <v>15.020300000000001</v>
      </c>
      <c r="AH3850" s="2">
        <v>27.6</v>
      </c>
      <c r="AJ3850" s="2">
        <f t="shared" si="634"/>
        <v>0</v>
      </c>
      <c r="AK3850" s="2">
        <f t="shared" si="631"/>
        <v>32.918799999999997</v>
      </c>
      <c r="AL3850" s="5">
        <f t="shared" si="63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635"/>
        <v>0.47936318238081005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33"/>
        <v>0</v>
      </c>
      <c r="AJ3851" s="2">
        <f t="shared" si="634"/>
        <v>0</v>
      </c>
      <c r="AK3851" s="2">
        <f t="shared" si="631"/>
        <v>112.30999999999999</v>
      </c>
      <c r="AL3851" s="5">
        <f t="shared" si="63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635"/>
        <v>0.46581160100729863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33"/>
        <v>0</v>
      </c>
      <c r="AJ3852" s="2">
        <f t="shared" si="634"/>
        <v>0</v>
      </c>
      <c r="AK3852" s="2">
        <f t="shared" si="631"/>
        <v>109.13499999999999</v>
      </c>
      <c r="AL3852" s="5">
        <f t="shared" si="63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635"/>
        <v>0.12538571428571429</v>
      </c>
      <c r="Z3853" s="2" t="s">
        <v>3226</v>
      </c>
      <c r="AA3853" s="2" t="s">
        <v>75</v>
      </c>
      <c r="AB3853" s="2" t="s">
        <v>76</v>
      </c>
      <c r="AC3853" s="2" t="s">
        <v>77</v>
      </c>
      <c r="AF3853" s="2">
        <f t="shared" si="633"/>
        <v>0</v>
      </c>
      <c r="AG3853" s="2">
        <v>122.446</v>
      </c>
      <c r="AH3853" s="2">
        <v>230</v>
      </c>
      <c r="AJ3853" s="2">
        <f t="shared" si="634"/>
        <v>0</v>
      </c>
      <c r="AK3853" s="2">
        <f t="shared" si="631"/>
        <v>17.554000000000002</v>
      </c>
      <c r="AL3853" s="5">
        <f t="shared" si="63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W3854" s="2">
        <f>82.08*S3854</f>
        <v>328.32</v>
      </c>
      <c r="X3854" s="5">
        <f t="shared" si="635"/>
        <v>0.31552942648070553</v>
      </c>
      <c r="Z3854" s="2" t="s">
        <v>3226</v>
      </c>
      <c r="AA3854" s="2" t="s">
        <v>1041</v>
      </c>
      <c r="AB3854" s="2" t="s">
        <v>1270</v>
      </c>
      <c r="AC3854" s="2" t="s">
        <v>1378</v>
      </c>
      <c r="AF3854" s="2">
        <f t="shared" si="633"/>
        <v>0</v>
      </c>
      <c r="AJ3854" s="2">
        <f t="shared" si="634"/>
        <v>0</v>
      </c>
      <c r="AK3854" s="2">
        <f t="shared" si="631"/>
        <v>151.35000000000002</v>
      </c>
      <c r="AL3854" s="5">
        <f t="shared" si="636"/>
        <v>0.31552942648070553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635"/>
        <v>2.000401846171453E-16</v>
      </c>
      <c r="Z3855" s="2" t="s">
        <v>3226</v>
      </c>
      <c r="AA3855" s="2" t="s">
        <v>96</v>
      </c>
      <c r="AB3855" s="2" t="s">
        <v>76</v>
      </c>
      <c r="AC3855" s="2" t="s">
        <v>93</v>
      </c>
      <c r="AF3855" s="2">
        <f t="shared" si="633"/>
        <v>0</v>
      </c>
      <c r="AJ3855" s="2">
        <f t="shared" si="634"/>
        <v>0</v>
      </c>
      <c r="AK3855" s="2">
        <f t="shared" si="631"/>
        <v>0</v>
      </c>
      <c r="AL3855" s="5">
        <f t="shared" si="63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635"/>
        <v>1</v>
      </c>
      <c r="Z3856" s="2" t="s">
        <v>119</v>
      </c>
      <c r="AA3856" s="2" t="s">
        <v>2921</v>
      </c>
      <c r="AF3856" s="2">
        <f t="shared" si="633"/>
        <v>0</v>
      </c>
      <c r="AJ3856" s="2">
        <f t="shared" si="634"/>
        <v>0</v>
      </c>
      <c r="AK3856" s="2">
        <f t="shared" si="631"/>
        <v>200</v>
      </c>
      <c r="AL3856" s="5">
        <f t="shared" si="636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635"/>
        <v>0.41111111111111115</v>
      </c>
      <c r="Z3857" s="2" t="s">
        <v>3226</v>
      </c>
      <c r="AA3857" s="2" t="s">
        <v>46</v>
      </c>
      <c r="AB3857" s="2" t="s">
        <v>56</v>
      </c>
      <c r="AC3857" s="2" t="s">
        <v>57</v>
      </c>
      <c r="AF3857" s="2">
        <f t="shared" si="633"/>
        <v>0</v>
      </c>
      <c r="AG3857" s="2">
        <v>10.6</v>
      </c>
      <c r="AH3857" s="2">
        <v>18</v>
      </c>
      <c r="AJ3857" s="2">
        <f t="shared" si="634"/>
        <v>0</v>
      </c>
      <c r="AK3857" s="2">
        <f t="shared" si="631"/>
        <v>14.8</v>
      </c>
      <c r="AL3857" s="5">
        <f t="shared" si="636"/>
        <v>0.41111111111111115</v>
      </c>
    </row>
    <row r="3858" spans="1:38" x14ac:dyDescent="0.2">
      <c r="A3858" s="2">
        <v>2026</v>
      </c>
      <c r="B3858" s="2">
        <v>5</v>
      </c>
      <c r="C3858" s="2" t="s">
        <v>3369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3368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635"/>
        <v>0.58173666666666668</v>
      </c>
      <c r="Z3858" s="2" t="s">
        <v>3226</v>
      </c>
      <c r="AA3858" s="2" t="s">
        <v>46</v>
      </c>
      <c r="AB3858" s="2" t="s">
        <v>90</v>
      </c>
      <c r="AC3858" s="2" t="s">
        <v>57</v>
      </c>
      <c r="AF3858" s="2">
        <f t="shared" si="633"/>
        <v>0</v>
      </c>
      <c r="AJ3858" s="2">
        <f t="shared" si="634"/>
        <v>0</v>
      </c>
      <c r="AK3858" s="2">
        <f t="shared" si="631"/>
        <v>34.904200000000003</v>
      </c>
      <c r="AL3858" s="5">
        <f t="shared" si="636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635"/>
        <v>0.39115929941618016</v>
      </c>
      <c r="Z3859" s="2" t="s">
        <v>3226</v>
      </c>
      <c r="AA3859" s="2" t="s">
        <v>71</v>
      </c>
      <c r="AB3859" s="2" t="s">
        <v>1600</v>
      </c>
      <c r="AC3859" s="2" t="s">
        <v>1600</v>
      </c>
      <c r="AF3859" s="2">
        <f t="shared" si="633"/>
        <v>0</v>
      </c>
      <c r="AG3859" s="2">
        <v>73</v>
      </c>
      <c r="AJ3859" s="2">
        <f t="shared" si="634"/>
        <v>0</v>
      </c>
      <c r="AK3859" s="2">
        <f t="shared" si="631"/>
        <v>46.900000000000006</v>
      </c>
      <c r="AL3859" s="5">
        <f t="shared" si="636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635"/>
        <v>0.34958766583004658</v>
      </c>
      <c r="Z3860" s="2" t="s">
        <v>3226</v>
      </c>
      <c r="AA3860" s="2" t="s">
        <v>71</v>
      </c>
      <c r="AB3860" s="2" t="s">
        <v>119</v>
      </c>
      <c r="AC3860" s="2" t="s">
        <v>119</v>
      </c>
      <c r="AF3860" s="2">
        <f t="shared" si="633"/>
        <v>0</v>
      </c>
      <c r="AG3860" s="2">
        <v>18.14</v>
      </c>
      <c r="AJ3860" s="2">
        <f t="shared" si="634"/>
        <v>0</v>
      </c>
      <c r="AK3860" s="2">
        <f t="shared" ref="AK3860:AK3891" si="637">T3860-W3860</f>
        <v>9.75</v>
      </c>
      <c r="AL3860" s="5">
        <f t="shared" si="636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635"/>
        <v>0.51574074074074072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33"/>
        <v>0</v>
      </c>
      <c r="AG3861" s="2">
        <v>5.23</v>
      </c>
      <c r="AH3861" s="2">
        <v>10.8</v>
      </c>
      <c r="AJ3861" s="2">
        <f t="shared" si="634"/>
        <v>0</v>
      </c>
      <c r="AK3861" s="2">
        <f t="shared" si="637"/>
        <v>5.57</v>
      </c>
      <c r="AL3861" s="5">
        <f t="shared" si="636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635"/>
        <v>0.73055555555555551</v>
      </c>
      <c r="Z3862" s="2" t="s">
        <v>3226</v>
      </c>
      <c r="AA3862" s="2" t="s">
        <v>46</v>
      </c>
      <c r="AB3862" s="2" t="s">
        <v>90</v>
      </c>
      <c r="AC3862" s="2" t="s">
        <v>57</v>
      </c>
      <c r="AF3862" s="2">
        <f t="shared" si="633"/>
        <v>0</v>
      </c>
      <c r="AG3862" s="2">
        <v>0.97</v>
      </c>
      <c r="AH3862" s="2">
        <v>6</v>
      </c>
      <c r="AJ3862" s="2">
        <f t="shared" si="634"/>
        <v>0</v>
      </c>
      <c r="AK3862" s="2">
        <f t="shared" si="637"/>
        <v>10.52</v>
      </c>
      <c r="AL3862" s="5">
        <f t="shared" si="636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635"/>
        <v>0.53121428571428575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33"/>
        <v>0</v>
      </c>
      <c r="AG3863" s="2">
        <v>5.9066999999999998</v>
      </c>
      <c r="AH3863" s="2">
        <v>12.6</v>
      </c>
      <c r="AJ3863" s="2">
        <f t="shared" si="634"/>
        <v>0</v>
      </c>
      <c r="AK3863" s="2">
        <f t="shared" si="637"/>
        <v>6.6932999999999998</v>
      </c>
      <c r="AL3863" s="5">
        <f t="shared" si="636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635"/>
        <v>0.49849305555555556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33"/>
        <v>0</v>
      </c>
      <c r="AG3864" s="2">
        <v>7.2217000000000002</v>
      </c>
      <c r="AH3864" s="2">
        <v>14.4</v>
      </c>
      <c r="AJ3864" s="2">
        <f t="shared" si="634"/>
        <v>0</v>
      </c>
      <c r="AK3864" s="2">
        <f t="shared" si="637"/>
        <v>7.1783000000000001</v>
      </c>
      <c r="AL3864" s="5">
        <f t="shared" si="636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635"/>
        <v>0.47844827586206895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33"/>
        <v>0</v>
      </c>
      <c r="AJ3865" s="2">
        <f t="shared" si="634"/>
        <v>0</v>
      </c>
      <c r="AK3865" s="2">
        <f t="shared" si="637"/>
        <v>8.3249999999999993</v>
      </c>
      <c r="AL3865" s="5">
        <f t="shared" si="636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635"/>
        <v>0.47404761904761905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33"/>
        <v>0</v>
      </c>
      <c r="AJ3866" s="2">
        <f t="shared" si="634"/>
        <v>0</v>
      </c>
      <c r="AK3866" s="2">
        <f t="shared" si="637"/>
        <v>9.9550000000000001</v>
      </c>
      <c r="AL3866" s="5">
        <f t="shared" si="636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635"/>
        <v>0.4679880952380952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33"/>
        <v>0</v>
      </c>
      <c r="AJ3867" s="2">
        <f t="shared" si="634"/>
        <v>0</v>
      </c>
      <c r="AK3867" s="2">
        <f t="shared" si="637"/>
        <v>11.793299999999999</v>
      </c>
      <c r="AL3867" s="5">
        <f t="shared" si="636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635"/>
        <v>0.45916999999999997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33"/>
        <v>0</v>
      </c>
      <c r="AJ3868" s="2">
        <f t="shared" si="634"/>
        <v>0</v>
      </c>
      <c r="AK3868" s="2">
        <f t="shared" si="637"/>
        <v>13.775099999999998</v>
      </c>
      <c r="AL3868" s="5">
        <f t="shared" si="636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635"/>
        <v>0.48696666666666666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33"/>
        <v>0</v>
      </c>
      <c r="AJ3869" s="2">
        <f t="shared" si="634"/>
        <v>0</v>
      </c>
      <c r="AK3869" s="2">
        <f t="shared" si="637"/>
        <v>8.7653999999999996</v>
      </c>
      <c r="AL3869" s="5">
        <f t="shared" si="636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635"/>
        <v>0.46834848484848485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33"/>
        <v>0</v>
      </c>
      <c r="AJ3870" s="2">
        <f t="shared" si="634"/>
        <v>0</v>
      </c>
      <c r="AK3870" s="2">
        <f t="shared" si="637"/>
        <v>9.2733000000000008</v>
      </c>
      <c r="AL3870" s="5">
        <f t="shared" si="636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635"/>
        <v>0.46226315789473682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33"/>
        <v>0</v>
      </c>
      <c r="AJ3871" s="2">
        <f t="shared" si="634"/>
        <v>0</v>
      </c>
      <c r="AK3871" s="2">
        <f t="shared" si="637"/>
        <v>10.5396</v>
      </c>
      <c r="AL3871" s="5">
        <f t="shared" si="636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635"/>
        <v>0.47041666666666665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33"/>
        <v>0</v>
      </c>
      <c r="AJ3872" s="2">
        <f t="shared" si="634"/>
        <v>0</v>
      </c>
      <c r="AK3872" s="2">
        <f t="shared" si="637"/>
        <v>11.29</v>
      </c>
      <c r="AL3872" s="5">
        <f t="shared" si="636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635"/>
        <v>0.26896551724137929</v>
      </c>
      <c r="Z3873" s="2" t="s">
        <v>3226</v>
      </c>
      <c r="AA3873" s="2" t="s">
        <v>46</v>
      </c>
      <c r="AB3873" s="2" t="s">
        <v>56</v>
      </c>
      <c r="AC3873" s="2" t="s">
        <v>57</v>
      </c>
      <c r="AF3873" s="2">
        <f t="shared" si="633"/>
        <v>0</v>
      </c>
      <c r="AG3873" s="2">
        <v>10.6</v>
      </c>
      <c r="AH3873" s="2">
        <v>18</v>
      </c>
      <c r="AJ3873" s="2">
        <f t="shared" si="634"/>
        <v>0</v>
      </c>
      <c r="AK3873" s="2">
        <f t="shared" si="637"/>
        <v>39</v>
      </c>
      <c r="AL3873" s="5">
        <f t="shared" si="636"/>
        <v>0.26896551724137929</v>
      </c>
    </row>
    <row r="3874" spans="1:38" x14ac:dyDescent="0.2">
      <c r="A3874" s="2">
        <v>2026</v>
      </c>
      <c r="B3874" s="2">
        <v>5</v>
      </c>
      <c r="C3874" s="2" t="s">
        <v>3371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635"/>
        <v>0.49808399999999997</v>
      </c>
      <c r="Z3874" s="2" t="s">
        <v>3226</v>
      </c>
      <c r="AA3874" s="2" t="s">
        <v>46</v>
      </c>
      <c r="AB3874" s="2" t="s">
        <v>90</v>
      </c>
      <c r="AC3874" s="2" t="s">
        <v>57</v>
      </c>
      <c r="AF3874" s="2">
        <f t="shared" si="633"/>
        <v>0</v>
      </c>
      <c r="AG3874" s="2">
        <v>25.094999999999999</v>
      </c>
      <c r="AH3874" s="2">
        <v>66</v>
      </c>
      <c r="AJ3874" s="2">
        <f t="shared" si="634"/>
        <v>0</v>
      </c>
      <c r="AK3874" s="2">
        <f t="shared" si="637"/>
        <v>24.904199999999999</v>
      </c>
      <c r="AL3874" s="5">
        <f t="shared" si="636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635"/>
        <v>0.29692307692307701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33"/>
        <v>0</v>
      </c>
      <c r="AG3875" s="2">
        <v>9.14</v>
      </c>
      <c r="AH3875" s="2">
        <v>16</v>
      </c>
      <c r="AJ3875" s="2">
        <f t="shared" si="634"/>
        <v>0</v>
      </c>
      <c r="AK3875" s="2">
        <f t="shared" si="637"/>
        <v>3.8600000000000012</v>
      </c>
      <c r="AL3875" s="5">
        <f t="shared" si="636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635"/>
        <v>0.36923076923076914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33"/>
        <v>0</v>
      </c>
      <c r="AG3876" s="2">
        <v>8.1999999999999993</v>
      </c>
      <c r="AH3876" s="2">
        <v>13</v>
      </c>
      <c r="AJ3876" s="2">
        <f t="shared" si="634"/>
        <v>0</v>
      </c>
      <c r="AK3876" s="2">
        <f t="shared" si="637"/>
        <v>19.199999999999996</v>
      </c>
      <c r="AL3876" s="5">
        <f t="shared" si="636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635"/>
        <v>0.29692307692307701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33"/>
        <v>0</v>
      </c>
      <c r="AJ3877" s="2">
        <f t="shared" si="634"/>
        <v>0</v>
      </c>
      <c r="AK3877" s="2">
        <f t="shared" si="637"/>
        <v>3.8600000000000012</v>
      </c>
      <c r="AL3877" s="5">
        <f t="shared" si="636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638">(T3878-W3878)/T3878</f>
        <v>0.5243888888888889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33"/>
        <v>0</v>
      </c>
      <c r="AG3878" s="2">
        <v>0.85609999999999997</v>
      </c>
      <c r="AH3878" s="2">
        <v>1.8</v>
      </c>
      <c r="AJ3878" s="2">
        <f t="shared" si="634"/>
        <v>0</v>
      </c>
      <c r="AK3878" s="2">
        <f t="shared" si="637"/>
        <v>7.5512000000000006</v>
      </c>
      <c r="AL3878" s="5">
        <f t="shared" ref="AL3878:AL3914" si="63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638"/>
        <v>0.62926666666666664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33"/>
        <v>0</v>
      </c>
      <c r="AG3879" s="2">
        <v>1.1122000000000001</v>
      </c>
      <c r="AH3879" s="2">
        <v>3</v>
      </c>
      <c r="AJ3879" s="2">
        <f t="shared" si="634"/>
        <v>0</v>
      </c>
      <c r="AK3879" s="2">
        <f t="shared" si="637"/>
        <v>15.102399999999999</v>
      </c>
      <c r="AL3879" s="5">
        <f t="shared" si="639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638"/>
        <v>0.5295333333333333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33"/>
        <v>0</v>
      </c>
      <c r="AG3880" s="2">
        <v>1.4114</v>
      </c>
      <c r="AH3880" s="2">
        <v>3</v>
      </c>
      <c r="AJ3880" s="2">
        <f t="shared" si="634"/>
        <v>0</v>
      </c>
      <c r="AK3880" s="2">
        <f t="shared" si="637"/>
        <v>6.3544</v>
      </c>
      <c r="AL3880" s="5">
        <f t="shared" si="639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638"/>
        <v>0.43583333333333329</v>
      </c>
      <c r="Z3881" s="2" t="s">
        <v>3226</v>
      </c>
      <c r="AA3881" s="2" t="s">
        <v>46</v>
      </c>
      <c r="AB3881" s="2" t="s">
        <v>60</v>
      </c>
      <c r="AC3881" s="2" t="s">
        <v>57</v>
      </c>
      <c r="AF3881" s="2">
        <f t="shared" si="633"/>
        <v>0</v>
      </c>
      <c r="AJ3881" s="2">
        <f t="shared" si="634"/>
        <v>0</v>
      </c>
      <c r="AK3881" s="2">
        <f t="shared" si="637"/>
        <v>5.2299999999999995</v>
      </c>
      <c r="AL3881" s="5">
        <f t="shared" si="639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638"/>
        <v>0.34694347826086952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33"/>
        <v>0</v>
      </c>
      <c r="AG3882" s="2">
        <v>15.020300000000001</v>
      </c>
      <c r="AH3882" s="2">
        <v>27.6</v>
      </c>
      <c r="AJ3882" s="2">
        <f t="shared" si="634"/>
        <v>0</v>
      </c>
      <c r="AK3882" s="2">
        <f t="shared" si="637"/>
        <v>7.9796999999999993</v>
      </c>
      <c r="AL3882" s="5">
        <f t="shared" si="639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638"/>
        <v>0.36042307692307685</v>
      </c>
      <c r="Z3883" s="2" t="s">
        <v>3226</v>
      </c>
      <c r="AA3883" s="2" t="s">
        <v>46</v>
      </c>
      <c r="AB3883" s="2" t="s">
        <v>67</v>
      </c>
      <c r="AC3883" s="2" t="s">
        <v>57</v>
      </c>
      <c r="AF3883" s="2">
        <f t="shared" si="633"/>
        <v>0</v>
      </c>
      <c r="AG3883" s="2">
        <v>8.3145000000000007</v>
      </c>
      <c r="AH3883" s="2">
        <v>15</v>
      </c>
      <c r="AJ3883" s="2">
        <f t="shared" si="634"/>
        <v>0</v>
      </c>
      <c r="AK3883" s="2">
        <f t="shared" si="637"/>
        <v>4.6854999999999993</v>
      </c>
      <c r="AL3883" s="5">
        <f t="shared" si="639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638"/>
        <v>1</v>
      </c>
      <c r="Z3884" s="2" t="s">
        <v>3226</v>
      </c>
      <c r="AA3884" s="2" t="s">
        <v>87</v>
      </c>
      <c r="AB3884" s="2" t="s">
        <v>90</v>
      </c>
      <c r="AC3884" s="2" t="s">
        <v>84</v>
      </c>
      <c r="AF3884" s="2">
        <f t="shared" si="633"/>
        <v>0</v>
      </c>
      <c r="AJ3884" s="2">
        <f t="shared" si="634"/>
        <v>0</v>
      </c>
      <c r="AK3884" s="2">
        <f t="shared" si="637"/>
        <v>13.2</v>
      </c>
      <c r="AL3884" s="5">
        <f t="shared" si="639"/>
        <v>1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638"/>
        <v>0.15454545454545454</v>
      </c>
      <c r="Z3885" s="2" t="s">
        <v>3226</v>
      </c>
      <c r="AA3885" s="2" t="s">
        <v>71</v>
      </c>
      <c r="AB3885" s="2" t="s">
        <v>2897</v>
      </c>
      <c r="AC3885" s="2" t="s">
        <v>2897</v>
      </c>
      <c r="AF3885" s="2">
        <f t="shared" si="633"/>
        <v>0</v>
      </c>
      <c r="AG3885" s="2">
        <v>139.5</v>
      </c>
      <c r="AJ3885" s="2">
        <f t="shared" si="634"/>
        <v>0</v>
      </c>
      <c r="AK3885" s="2">
        <f t="shared" si="637"/>
        <v>25.5</v>
      </c>
      <c r="AL3885" s="5">
        <f t="shared" si="639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638"/>
        <v>0.58491111111111116</v>
      </c>
      <c r="Z3886" s="2" t="s">
        <v>3226</v>
      </c>
      <c r="AA3886" s="2" t="s">
        <v>46</v>
      </c>
      <c r="AB3886" s="2" t="s">
        <v>47</v>
      </c>
      <c r="AC3886" s="2" t="s">
        <v>57</v>
      </c>
      <c r="AF3886" s="2">
        <f t="shared" si="633"/>
        <v>0</v>
      </c>
      <c r="AG3886" s="2">
        <v>3.7357999999999998</v>
      </c>
      <c r="AH3886" s="2">
        <v>9</v>
      </c>
      <c r="AJ3886" s="2">
        <f t="shared" si="634"/>
        <v>0</v>
      </c>
      <c r="AK3886" s="2">
        <f t="shared" si="637"/>
        <v>21.056800000000003</v>
      </c>
      <c r="AL3886" s="5">
        <f t="shared" si="639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638"/>
        <v>0.36923076923076914</v>
      </c>
      <c r="Z3887" s="2" t="s">
        <v>3226</v>
      </c>
      <c r="AA3887" s="2" t="s">
        <v>46</v>
      </c>
      <c r="AB3887" s="2" t="s">
        <v>60</v>
      </c>
      <c r="AC3887" s="2" t="s">
        <v>57</v>
      </c>
      <c r="AF3887" s="2">
        <f t="shared" si="633"/>
        <v>0</v>
      </c>
      <c r="AG3887" s="2">
        <v>8.1999999999999993</v>
      </c>
      <c r="AH3887" s="2">
        <v>13</v>
      </c>
      <c r="AJ3887" s="2">
        <f t="shared" si="634"/>
        <v>0</v>
      </c>
      <c r="AK3887" s="2">
        <f t="shared" si="637"/>
        <v>4.7999999999999989</v>
      </c>
      <c r="AL3887" s="5">
        <f t="shared" si="639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638"/>
        <v>0.34694347826086952</v>
      </c>
      <c r="Z3888" s="2" t="s">
        <v>3226</v>
      </c>
      <c r="AA3888" s="2" t="s">
        <v>46</v>
      </c>
      <c r="AB3888" s="2" t="s">
        <v>67</v>
      </c>
      <c r="AC3888" s="2" t="s">
        <v>57</v>
      </c>
      <c r="AF3888" s="2">
        <f t="shared" si="633"/>
        <v>0</v>
      </c>
      <c r="AG3888" s="2">
        <v>15.020300000000001</v>
      </c>
      <c r="AH3888" s="2">
        <v>27.6</v>
      </c>
      <c r="AJ3888" s="2">
        <f t="shared" si="634"/>
        <v>0</v>
      </c>
      <c r="AK3888" s="2">
        <f t="shared" si="637"/>
        <v>7.9796999999999993</v>
      </c>
      <c r="AL3888" s="5">
        <f t="shared" si="639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638"/>
        <v>-0.2</v>
      </c>
      <c r="Z3889" s="2" t="s">
        <v>169</v>
      </c>
      <c r="AA3889" s="2" t="s">
        <v>169</v>
      </c>
      <c r="AF3889" s="2">
        <f t="shared" si="633"/>
        <v>0</v>
      </c>
      <c r="AJ3889" s="2">
        <f t="shared" si="634"/>
        <v>0</v>
      </c>
      <c r="AK3889" s="2">
        <f t="shared" si="637"/>
        <v>-1</v>
      </c>
      <c r="AL3889" s="5">
        <f t="shared" si="639"/>
        <v>-0.2</v>
      </c>
    </row>
    <row r="3890" spans="1:38" x14ac:dyDescent="0.2">
      <c r="A3890" s="2">
        <v>2026</v>
      </c>
      <c r="B3890" s="2">
        <v>5</v>
      </c>
      <c r="C3890" s="2" t="s">
        <v>3371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3229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638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3229</v>
      </c>
      <c r="AF3890" s="2">
        <f t="shared" si="633"/>
        <v>0</v>
      </c>
      <c r="AJ3890" s="2">
        <f t="shared" si="634"/>
        <v>0</v>
      </c>
      <c r="AK3890" s="2">
        <f t="shared" si="637"/>
        <v>1649.08</v>
      </c>
      <c r="AL3890" s="5">
        <f t="shared" si="639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638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633"/>
        <v>0</v>
      </c>
      <c r="AG3891" s="2">
        <f>W3891</f>
        <v>95.100000000000009</v>
      </c>
      <c r="AJ3891" s="2">
        <f t="shared" si="634"/>
        <v>0</v>
      </c>
      <c r="AK3891" s="2">
        <f t="shared" si="637"/>
        <v>142.64999999999998</v>
      </c>
      <c r="AL3891" s="5">
        <f t="shared" si="639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638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633"/>
        <v>0</v>
      </c>
      <c r="AG3892" s="2">
        <f>W3892</f>
        <v>27.5</v>
      </c>
      <c r="AJ3892" s="2">
        <f t="shared" si="634"/>
        <v>0</v>
      </c>
      <c r="AK3892" s="2">
        <f t="shared" ref="AK3892:AK3923" si="640">T3892-W3892</f>
        <v>27.5</v>
      </c>
      <c r="AL3892" s="5">
        <f t="shared" si="639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638"/>
        <v>1</v>
      </c>
      <c r="Z3893" s="2" t="s">
        <v>119</v>
      </c>
      <c r="AA3893" s="2" t="s">
        <v>3379</v>
      </c>
      <c r="AF3893" s="2">
        <f t="shared" si="633"/>
        <v>0</v>
      </c>
      <c r="AJ3893" s="2">
        <f t="shared" si="634"/>
        <v>0</v>
      </c>
      <c r="AK3893" s="2">
        <f t="shared" si="640"/>
        <v>297.5</v>
      </c>
      <c r="AL3893" s="5">
        <f t="shared" si="639"/>
        <v>1</v>
      </c>
    </row>
    <row r="3894" spans="1:38" x14ac:dyDescent="0.2">
      <c r="A3894" s="2">
        <v>2026</v>
      </c>
      <c r="B3894" s="2">
        <v>5</v>
      </c>
      <c r="C3894" s="2" t="s">
        <v>3369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638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633"/>
        <v>0</v>
      </c>
      <c r="AJ3894" s="2">
        <f t="shared" si="634"/>
        <v>0</v>
      </c>
      <c r="AK3894" s="2">
        <f t="shared" si="640"/>
        <v>146.92000000000002</v>
      </c>
      <c r="AL3894" s="5">
        <f t="shared" si="639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638"/>
        <v>0.47191304347826091</v>
      </c>
      <c r="Z3895" s="2" t="s">
        <v>3226</v>
      </c>
      <c r="AA3895" s="2" t="s">
        <v>75</v>
      </c>
      <c r="AB3895" s="2" t="s">
        <v>76</v>
      </c>
      <c r="AC3895" s="2" t="s">
        <v>77</v>
      </c>
      <c r="AF3895" s="2">
        <f t="shared" si="633"/>
        <v>0</v>
      </c>
      <c r="AG3895" s="2">
        <v>121.46</v>
      </c>
      <c r="AH3895" s="2">
        <v>210</v>
      </c>
      <c r="AJ3895" s="2">
        <f t="shared" si="634"/>
        <v>0</v>
      </c>
      <c r="AK3895" s="2">
        <f t="shared" si="640"/>
        <v>108.54</v>
      </c>
      <c r="AL3895" s="5">
        <f t="shared" si="639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638"/>
        <v>0</v>
      </c>
      <c r="Z3896" s="2" t="s">
        <v>3226</v>
      </c>
      <c r="AA3896" s="2" t="s">
        <v>96</v>
      </c>
      <c r="AB3896" s="2" t="s">
        <v>76</v>
      </c>
      <c r="AC3896" s="2" t="s">
        <v>93</v>
      </c>
      <c r="AF3896" s="2">
        <f t="shared" si="633"/>
        <v>0</v>
      </c>
      <c r="AJ3896" s="2">
        <f t="shared" si="634"/>
        <v>0</v>
      </c>
      <c r="AK3896" s="2">
        <f t="shared" si="640"/>
        <v>0</v>
      </c>
      <c r="AL3896" s="5">
        <f t="shared" si="639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638"/>
        <v>0.43388888888888894</v>
      </c>
      <c r="Z3897" s="2" t="s">
        <v>3226</v>
      </c>
      <c r="AA3897" s="2" t="s">
        <v>75</v>
      </c>
      <c r="AB3897" s="2" t="s">
        <v>76</v>
      </c>
      <c r="AC3897" s="2" t="s">
        <v>77</v>
      </c>
      <c r="AF3897" s="2">
        <f t="shared" si="633"/>
        <v>0</v>
      </c>
      <c r="AJ3897" s="2">
        <f t="shared" si="634"/>
        <v>0</v>
      </c>
      <c r="AK3897" s="2">
        <f t="shared" si="640"/>
        <v>117.15</v>
      </c>
      <c r="AL3897" s="5">
        <f t="shared" si="639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638"/>
        <v>0</v>
      </c>
      <c r="Z3898" s="2" t="s">
        <v>3226</v>
      </c>
      <c r="AA3898" s="2" t="s">
        <v>96</v>
      </c>
      <c r="AB3898" s="2" t="s">
        <v>76</v>
      </c>
      <c r="AC3898" s="2" t="s">
        <v>93</v>
      </c>
      <c r="AF3898" s="2">
        <f t="shared" si="633"/>
        <v>0</v>
      </c>
      <c r="AJ3898" s="2">
        <f t="shared" si="634"/>
        <v>0</v>
      </c>
      <c r="AK3898" s="2">
        <f t="shared" si="640"/>
        <v>0</v>
      </c>
      <c r="AL3898" s="5">
        <f t="shared" si="639"/>
        <v>0</v>
      </c>
    </row>
    <row r="3899" spans="1:38" x14ac:dyDescent="0.2">
      <c r="A3899" s="2">
        <v>2026</v>
      </c>
      <c r="B3899" s="2">
        <v>5</v>
      </c>
      <c r="C3899" s="2" t="s">
        <v>3371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638"/>
        <v>0.4142857142857142</v>
      </c>
      <c r="Z3899" s="2" t="s">
        <v>3226</v>
      </c>
      <c r="AA3899" s="2" t="s">
        <v>46</v>
      </c>
      <c r="AB3899" s="2" t="s">
        <v>60</v>
      </c>
      <c r="AC3899" s="2" t="s">
        <v>57</v>
      </c>
      <c r="AF3899" s="2">
        <f t="shared" si="633"/>
        <v>0</v>
      </c>
      <c r="AG3899" s="2">
        <v>8.1999999999999993</v>
      </c>
      <c r="AH3899" s="2">
        <v>13</v>
      </c>
      <c r="AJ3899" s="2">
        <f t="shared" si="634"/>
        <v>0</v>
      </c>
      <c r="AK3899" s="2">
        <f t="shared" si="640"/>
        <v>5.7999999999999989</v>
      </c>
      <c r="AL3899" s="5">
        <f t="shared" si="639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638"/>
        <v>0.41111111111111115</v>
      </c>
      <c r="Z3900" s="2" t="s">
        <v>3226</v>
      </c>
      <c r="AA3900" s="2" t="s">
        <v>46</v>
      </c>
      <c r="AB3900" s="2" t="s">
        <v>56</v>
      </c>
      <c r="AC3900" s="2" t="s">
        <v>57</v>
      </c>
      <c r="AF3900" s="2">
        <f t="shared" si="633"/>
        <v>0</v>
      </c>
      <c r="AG3900" s="2">
        <v>10.6</v>
      </c>
      <c r="AH3900" s="2">
        <v>18</v>
      </c>
      <c r="AJ3900" s="2">
        <f t="shared" si="634"/>
        <v>0</v>
      </c>
      <c r="AK3900" s="2">
        <f t="shared" si="640"/>
        <v>14.8</v>
      </c>
      <c r="AL3900" s="5">
        <f t="shared" si="639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638"/>
        <v>0.42947272727272723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33"/>
        <v>0</v>
      </c>
      <c r="AG3901" s="2">
        <v>125.51600000000001</v>
      </c>
      <c r="AH3901" s="2">
        <v>220</v>
      </c>
      <c r="AJ3901" s="2">
        <f t="shared" si="634"/>
        <v>0</v>
      </c>
      <c r="AK3901" s="2">
        <f t="shared" si="640"/>
        <v>94.483999999999995</v>
      </c>
      <c r="AL3901" s="5">
        <f t="shared" si="639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638"/>
        <v>0.45375609756097557</v>
      </c>
      <c r="Z3902" s="2" t="s">
        <v>3226</v>
      </c>
      <c r="AA3902" s="2" t="s">
        <v>75</v>
      </c>
      <c r="AB3902" s="2" t="s">
        <v>76</v>
      </c>
      <c r="AC3902" s="2" t="s">
        <v>77</v>
      </c>
      <c r="AF3902" s="2">
        <f t="shared" si="633"/>
        <v>0</v>
      </c>
      <c r="AG3902" s="2">
        <v>111.98</v>
      </c>
      <c r="AH3902" s="2">
        <v>210</v>
      </c>
      <c r="AJ3902" s="2">
        <f t="shared" si="634"/>
        <v>0</v>
      </c>
      <c r="AK3902" s="2">
        <f t="shared" si="640"/>
        <v>93.02</v>
      </c>
      <c r="AL3902" s="5">
        <f t="shared" si="639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638"/>
        <v>0</v>
      </c>
      <c r="Z3903" s="2" t="s">
        <v>3226</v>
      </c>
      <c r="AA3903" s="2" t="s">
        <v>96</v>
      </c>
      <c r="AB3903" s="2" t="s">
        <v>76</v>
      </c>
      <c r="AC3903" s="2" t="s">
        <v>93</v>
      </c>
      <c r="AF3903" s="2">
        <f t="shared" si="633"/>
        <v>0</v>
      </c>
      <c r="AG3903" s="2">
        <v>1.48</v>
      </c>
      <c r="AH3903" s="2">
        <v>1.48</v>
      </c>
      <c r="AJ3903" s="2">
        <f t="shared" si="634"/>
        <v>0</v>
      </c>
      <c r="AK3903" s="2">
        <f t="shared" si="640"/>
        <v>0</v>
      </c>
      <c r="AL3903" s="5">
        <f t="shared" si="639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M3904" s="2" t="s">
        <v>41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638"/>
        <v>0.39011111111111113</v>
      </c>
      <c r="Z3904" s="2" t="s">
        <v>3226</v>
      </c>
      <c r="AA3904" s="2" t="s">
        <v>71</v>
      </c>
      <c r="AB3904" s="2" t="s">
        <v>1600</v>
      </c>
      <c r="AC3904" s="2" t="s">
        <v>1600</v>
      </c>
      <c r="AF3904" s="2">
        <f t="shared" si="633"/>
        <v>0</v>
      </c>
      <c r="AJ3904" s="2">
        <f t="shared" si="634"/>
        <v>0</v>
      </c>
      <c r="AK3904" s="2">
        <f t="shared" si="640"/>
        <v>17.555</v>
      </c>
      <c r="AL3904" s="5">
        <f t="shared" si="639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638"/>
        <v>0.52504545454545459</v>
      </c>
      <c r="Z3905" s="2" t="s">
        <v>3226</v>
      </c>
      <c r="AA3905" s="2" t="s">
        <v>75</v>
      </c>
      <c r="AB3905" s="2" t="s">
        <v>76</v>
      </c>
      <c r="AC3905" s="2" t="s">
        <v>77</v>
      </c>
      <c r="AF3905" s="2">
        <f t="shared" si="633"/>
        <v>0</v>
      </c>
      <c r="AG3905" s="2">
        <v>104.49</v>
      </c>
      <c r="AH3905" s="2">
        <v>220</v>
      </c>
      <c r="AJ3905" s="2">
        <f t="shared" si="634"/>
        <v>0</v>
      </c>
      <c r="AK3905" s="2">
        <f t="shared" si="640"/>
        <v>115.51</v>
      </c>
      <c r="AL3905" s="5">
        <f t="shared" si="639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638"/>
        <v>1</v>
      </c>
      <c r="Z3906" s="2" t="s">
        <v>3226</v>
      </c>
      <c r="AA3906" s="2" t="s">
        <v>96</v>
      </c>
      <c r="AB3906" s="2" t="s">
        <v>76</v>
      </c>
      <c r="AC3906" s="2" t="s">
        <v>93</v>
      </c>
      <c r="AF3906" s="2">
        <f t="shared" ref="AF3906:AF3969" si="641">AJ3906</f>
        <v>0</v>
      </c>
      <c r="AJ3906" s="2">
        <f t="shared" ref="AJ3906:AJ3969" si="642">AI3906*T3906</f>
        <v>0</v>
      </c>
      <c r="AK3906" s="2">
        <f t="shared" si="640"/>
        <v>1.48</v>
      </c>
      <c r="AL3906" s="5">
        <f t="shared" si="639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638"/>
        <v>0.31428571428571428</v>
      </c>
      <c r="Z3907" s="2" t="s">
        <v>3226</v>
      </c>
      <c r="AA3907" s="2" t="s">
        <v>46</v>
      </c>
      <c r="AB3907" s="2" t="s">
        <v>47</v>
      </c>
      <c r="AC3907" s="2" t="s">
        <v>57</v>
      </c>
      <c r="AF3907" s="2">
        <f t="shared" si="641"/>
        <v>0</v>
      </c>
      <c r="AG3907" s="2">
        <v>14.4</v>
      </c>
      <c r="AH3907" s="2">
        <v>21</v>
      </c>
      <c r="AJ3907" s="2">
        <f t="shared" si="642"/>
        <v>0</v>
      </c>
      <c r="AK3907" s="2">
        <f t="shared" si="640"/>
        <v>6.6</v>
      </c>
      <c r="AL3907" s="5">
        <f t="shared" si="639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638"/>
        <v>0.29333333333333333</v>
      </c>
      <c r="Z3908" s="2" t="s">
        <v>3226</v>
      </c>
      <c r="AA3908" s="2" t="s">
        <v>46</v>
      </c>
      <c r="AB3908" s="2" t="s">
        <v>56</v>
      </c>
      <c r="AC3908" s="2" t="s">
        <v>57</v>
      </c>
      <c r="AF3908" s="2">
        <f t="shared" si="641"/>
        <v>0</v>
      </c>
      <c r="AG3908" s="2">
        <v>10.6</v>
      </c>
      <c r="AH3908" s="2">
        <v>18</v>
      </c>
      <c r="AJ3908" s="2">
        <f t="shared" si="642"/>
        <v>0</v>
      </c>
      <c r="AK3908" s="2">
        <f t="shared" si="640"/>
        <v>44</v>
      </c>
      <c r="AL3908" s="5">
        <f t="shared" si="639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638"/>
        <v>0.38692653061224486</v>
      </c>
      <c r="Z3909" s="2" t="s">
        <v>3226</v>
      </c>
      <c r="AA3909" s="2" t="s">
        <v>46</v>
      </c>
      <c r="AB3909" s="2" t="s">
        <v>67</v>
      </c>
      <c r="AC3909" s="2" t="s">
        <v>57</v>
      </c>
      <c r="AF3909" s="2">
        <f t="shared" si="641"/>
        <v>0</v>
      </c>
      <c r="AG3909" s="2">
        <v>15.020300000000001</v>
      </c>
      <c r="AH3909" s="2">
        <v>27.6</v>
      </c>
      <c r="AJ3909" s="2">
        <f t="shared" si="642"/>
        <v>0</v>
      </c>
      <c r="AK3909" s="2">
        <f t="shared" si="640"/>
        <v>9.4796999999999993</v>
      </c>
      <c r="AL3909" s="5">
        <f t="shared" si="639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643">(T3910-W3910)/T3910</f>
        <v>1</v>
      </c>
      <c r="Z3910" s="2" t="s">
        <v>117</v>
      </c>
      <c r="AA3910" s="2" t="s">
        <v>1310</v>
      </c>
      <c r="AF3910" s="2">
        <f t="shared" si="641"/>
        <v>0</v>
      </c>
      <c r="AJ3910" s="2">
        <f t="shared" si="642"/>
        <v>0</v>
      </c>
      <c r="AK3910" s="2">
        <f t="shared" si="640"/>
        <v>104.83</v>
      </c>
      <c r="AL3910" s="5">
        <f t="shared" si="639"/>
        <v>1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643"/>
        <v>0.29333333333333333</v>
      </c>
      <c r="Z3911" s="2" t="s">
        <v>3226</v>
      </c>
      <c r="AA3911" s="2" t="s">
        <v>46</v>
      </c>
      <c r="AB3911" s="2" t="s">
        <v>56</v>
      </c>
      <c r="AC3911" s="2" t="s">
        <v>57</v>
      </c>
      <c r="AF3911" s="2">
        <f t="shared" si="641"/>
        <v>0</v>
      </c>
      <c r="AG3911" s="2">
        <v>10.6</v>
      </c>
      <c r="AH3911" s="2">
        <v>18</v>
      </c>
      <c r="AJ3911" s="2">
        <f t="shared" si="642"/>
        <v>0</v>
      </c>
      <c r="AK3911" s="2">
        <f t="shared" si="640"/>
        <v>44</v>
      </c>
      <c r="AL3911" s="5">
        <f t="shared" si="639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643"/>
        <v>0.25454545454545452</v>
      </c>
      <c r="Z3912" s="2" t="s">
        <v>3226</v>
      </c>
      <c r="AA3912" s="2" t="s">
        <v>46</v>
      </c>
      <c r="AB3912" s="2" t="s">
        <v>60</v>
      </c>
      <c r="AC3912" s="2" t="s">
        <v>57</v>
      </c>
      <c r="AF3912" s="2">
        <f t="shared" si="641"/>
        <v>0</v>
      </c>
      <c r="AG3912" s="2">
        <v>8.1999999999999993</v>
      </c>
      <c r="AH3912" s="2">
        <v>13</v>
      </c>
      <c r="AJ3912" s="2">
        <f t="shared" si="642"/>
        <v>0</v>
      </c>
      <c r="AK3912" s="2">
        <f t="shared" si="640"/>
        <v>28</v>
      </c>
      <c r="AL3912" s="5">
        <f t="shared" si="639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643"/>
        <v>-0.2</v>
      </c>
      <c r="Z3913" s="2" t="s">
        <v>169</v>
      </c>
      <c r="AA3913" s="2" t="s">
        <v>169</v>
      </c>
      <c r="AF3913" s="2">
        <f t="shared" si="641"/>
        <v>0</v>
      </c>
      <c r="AJ3913" s="2">
        <f t="shared" si="642"/>
        <v>0</v>
      </c>
      <c r="AK3913" s="2">
        <f t="shared" si="640"/>
        <v>-1</v>
      </c>
      <c r="AL3913" s="5">
        <f t="shared" si="639"/>
        <v>-0.2</v>
      </c>
    </row>
    <row r="3914" spans="1:38" x14ac:dyDescent="0.2">
      <c r="A3914" s="2">
        <v>2026</v>
      </c>
      <c r="B3914" s="2">
        <v>5</v>
      </c>
      <c r="C3914" s="2" t="s">
        <v>3434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643"/>
        <v>0.33938947368421052</v>
      </c>
      <c r="Z3914" s="2" t="s">
        <v>3226</v>
      </c>
      <c r="AA3914" s="2" t="s">
        <v>75</v>
      </c>
      <c r="AB3914" s="2" t="s">
        <v>76</v>
      </c>
      <c r="AC3914" s="2" t="s">
        <v>77</v>
      </c>
      <c r="AF3914" s="2">
        <f t="shared" si="641"/>
        <v>0</v>
      </c>
      <c r="AG3914" s="2">
        <v>125.51600000000001</v>
      </c>
      <c r="AH3914" s="2">
        <v>220</v>
      </c>
      <c r="AJ3914" s="2">
        <f t="shared" si="642"/>
        <v>0</v>
      </c>
      <c r="AK3914" s="2">
        <f t="shared" si="640"/>
        <v>64.483999999999995</v>
      </c>
      <c r="AL3914" s="5">
        <f t="shared" si="639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641"/>
        <v>0</v>
      </c>
      <c r="AJ3915" s="2">
        <f t="shared" si="642"/>
        <v>0</v>
      </c>
      <c r="AK3915" s="2">
        <f t="shared" si="64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3434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3226</v>
      </c>
      <c r="AA3916" s="2" t="s">
        <v>96</v>
      </c>
      <c r="AB3916" s="2" t="s">
        <v>76</v>
      </c>
      <c r="AC3916" s="2" t="s">
        <v>93</v>
      </c>
      <c r="AF3916" s="2">
        <f t="shared" si="641"/>
        <v>0</v>
      </c>
      <c r="AJ3916" s="2">
        <f t="shared" si="642"/>
        <v>0</v>
      </c>
      <c r="AK3916" s="2">
        <f t="shared" si="64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36.2258*S3917</f>
        <v>72.451599999999999</v>
      </c>
      <c r="X3917" s="5">
        <f>(T3917-W3917)/T3917</f>
        <v>0.48782977520147042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1"/>
        <v>0</v>
      </c>
      <c r="AG3917" s="2">
        <v>35.931699999999999</v>
      </c>
      <c r="AJ3917" s="2">
        <f t="shared" si="642"/>
        <v>0</v>
      </c>
      <c r="AK3917" s="2">
        <f t="shared" si="640"/>
        <v>69.008400000000009</v>
      </c>
      <c r="AL3917" s="5">
        <f>(T3917-W3917)/T3917</f>
        <v>0.48782977520147042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641"/>
        <v>0</v>
      </c>
      <c r="AG3918" s="2">
        <v>5.33</v>
      </c>
      <c r="AJ3918" s="2">
        <f t="shared" si="642"/>
        <v>0</v>
      </c>
      <c r="AK3918" s="2">
        <f t="shared" si="64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68.5*40%</f>
        <v>27.400000000000002</v>
      </c>
      <c r="X3919" s="18">
        <f t="shared" ref="X3919:X3920" si="644">SIGN(T3919)*((ABS(T3919)-W3919)/ABS(T3919))</f>
        <v>-0.59999999999999987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641"/>
        <v>0</v>
      </c>
      <c r="AG3919" s="2">
        <f>W3919</f>
        <v>27.400000000000002</v>
      </c>
      <c r="AJ3919" s="2">
        <f t="shared" si="642"/>
        <v>0</v>
      </c>
      <c r="AK3919" s="2">
        <f t="shared" si="640"/>
        <v>-95.9</v>
      </c>
      <c r="AL3919" s="18">
        <f t="shared" ref="AL3919:AL3920" si="645">SIGN(T3919)*((ABS(T3919)-W3919)/ABS(T3919))</f>
        <v>-0.59999999999999987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W3920" s="2">
        <f>6.25*50%</f>
        <v>3.125</v>
      </c>
      <c r="X3920" s="18">
        <f t="shared" si="644"/>
        <v>-0.5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641"/>
        <v>0</v>
      </c>
      <c r="AG3920" s="2">
        <f>W3920</f>
        <v>3.125</v>
      </c>
      <c r="AJ3920" s="2">
        <f t="shared" si="642"/>
        <v>0</v>
      </c>
      <c r="AK3920" s="2">
        <f t="shared" si="640"/>
        <v>-9.375</v>
      </c>
      <c r="AL3920" s="18">
        <f t="shared" si="645"/>
        <v>-0.5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646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641"/>
        <v>0</v>
      </c>
      <c r="AJ3921" s="2">
        <f t="shared" si="642"/>
        <v>0</v>
      </c>
      <c r="AK3921" s="2">
        <f t="shared" si="640"/>
        <v>146.92000000000002</v>
      </c>
      <c r="AL3921" s="5">
        <f t="shared" ref="AL3921:AL3940" si="647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646"/>
        <v>0.29333333333333333</v>
      </c>
      <c r="Z3922" s="2" t="s">
        <v>3226</v>
      </c>
      <c r="AA3922" s="2" t="s">
        <v>46</v>
      </c>
      <c r="AB3922" s="2" t="s">
        <v>56</v>
      </c>
      <c r="AC3922" s="2" t="s">
        <v>57</v>
      </c>
      <c r="AF3922" s="2">
        <f t="shared" si="641"/>
        <v>0</v>
      </c>
      <c r="AG3922" s="2">
        <v>10.6</v>
      </c>
      <c r="AH3922" s="2">
        <v>18</v>
      </c>
      <c r="AJ3922" s="2">
        <f t="shared" si="642"/>
        <v>0</v>
      </c>
      <c r="AK3922" s="2">
        <f t="shared" si="640"/>
        <v>17.600000000000001</v>
      </c>
      <c r="AL3922" s="5">
        <f t="shared" si="647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646"/>
        <v>0.28439999999999999</v>
      </c>
      <c r="Z3923" s="2" t="s">
        <v>3226</v>
      </c>
      <c r="AA3923" s="2" t="s">
        <v>46</v>
      </c>
      <c r="AB3923" s="2" t="s">
        <v>90</v>
      </c>
      <c r="AC3923" s="2" t="s">
        <v>57</v>
      </c>
      <c r="AF3923" s="2">
        <f t="shared" si="641"/>
        <v>0</v>
      </c>
      <c r="AJ3923" s="2">
        <f t="shared" si="642"/>
        <v>0</v>
      </c>
      <c r="AK3923" s="2">
        <f t="shared" si="640"/>
        <v>14.219999999999999</v>
      </c>
      <c r="AL3923" s="5">
        <f t="shared" si="647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36.2258*S3924</f>
        <v>72.451599999999999</v>
      </c>
      <c r="X3924" s="5">
        <f t="shared" si="646"/>
        <v>0.53905331467107775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641"/>
        <v>0</v>
      </c>
      <c r="AG3924" s="2">
        <v>35.931699999999999</v>
      </c>
      <c r="AJ3924" s="2">
        <f t="shared" si="642"/>
        <v>0</v>
      </c>
      <c r="AK3924" s="2">
        <f t="shared" ref="AK3924:AK3941" si="648">T3924-W3924</f>
        <v>84.728400000000008</v>
      </c>
      <c r="AL3924" s="5">
        <f t="shared" si="647"/>
        <v>0.53905331467107775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646"/>
        <v>0.45578623188405798</v>
      </c>
      <c r="Z3925" s="2" t="s">
        <v>3226</v>
      </c>
      <c r="AA3925" s="2" t="s">
        <v>46</v>
      </c>
      <c r="AB3925" s="2" t="s">
        <v>67</v>
      </c>
      <c r="AC3925" s="2" t="s">
        <v>57</v>
      </c>
      <c r="AF3925" s="2">
        <f t="shared" si="641"/>
        <v>0</v>
      </c>
      <c r="AG3925" s="2">
        <v>15.020300000000001</v>
      </c>
      <c r="AH3925" s="2">
        <v>27.6</v>
      </c>
      <c r="AJ3925" s="2">
        <f t="shared" si="642"/>
        <v>0</v>
      </c>
      <c r="AK3925" s="2">
        <f t="shared" si="648"/>
        <v>12.579700000000001</v>
      </c>
      <c r="AL3925" s="5">
        <f t="shared" si="647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646"/>
        <v>0.42639130434782607</v>
      </c>
      <c r="Z3926" s="2" t="s">
        <v>3226</v>
      </c>
      <c r="AA3926" s="2" t="s">
        <v>75</v>
      </c>
      <c r="AB3926" s="2" t="s">
        <v>76</v>
      </c>
      <c r="AC3926" s="2" t="s">
        <v>77</v>
      </c>
      <c r="AF3926" s="2">
        <f t="shared" si="641"/>
        <v>0</v>
      </c>
      <c r="AG3926" s="2">
        <v>131.93</v>
      </c>
      <c r="AH3926" s="2">
        <v>220</v>
      </c>
      <c r="AJ3926" s="2">
        <f t="shared" si="642"/>
        <v>0</v>
      </c>
      <c r="AK3926" s="2">
        <f t="shared" si="648"/>
        <v>98.07</v>
      </c>
      <c r="AL3926" s="5">
        <f t="shared" si="647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646"/>
        <v>0</v>
      </c>
      <c r="Z3927" s="2" t="s">
        <v>3226</v>
      </c>
      <c r="AA3927" s="2" t="s">
        <v>96</v>
      </c>
      <c r="AB3927" s="2" t="s">
        <v>76</v>
      </c>
      <c r="AC3927" s="2" t="s">
        <v>93</v>
      </c>
      <c r="AF3927" s="2">
        <f t="shared" si="641"/>
        <v>0</v>
      </c>
      <c r="AJ3927" s="2">
        <f t="shared" si="642"/>
        <v>0</v>
      </c>
      <c r="AK3927" s="2">
        <f t="shared" si="648"/>
        <v>0</v>
      </c>
      <c r="AL3927" s="5">
        <f t="shared" si="647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646"/>
        <v>0.65133333333333332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1"/>
        <v>0</v>
      </c>
      <c r="AG3928" s="2">
        <v>5.23</v>
      </c>
      <c r="AH3928" s="2">
        <v>10.8</v>
      </c>
      <c r="AJ3928" s="2">
        <f t="shared" si="642"/>
        <v>0</v>
      </c>
      <c r="AK3928" s="2">
        <f t="shared" si="648"/>
        <v>9.77</v>
      </c>
      <c r="AL3928" s="5">
        <f t="shared" si="647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646"/>
        <v>0.80600000000000005</v>
      </c>
      <c r="Z3929" s="2" t="s">
        <v>3226</v>
      </c>
      <c r="AA3929" s="2" t="s">
        <v>46</v>
      </c>
      <c r="AB3929" s="2" t="s">
        <v>90</v>
      </c>
      <c r="AC3929" s="2" t="s">
        <v>57</v>
      </c>
      <c r="AF3929" s="2">
        <f t="shared" si="641"/>
        <v>0</v>
      </c>
      <c r="AG3929" s="2">
        <v>0.97</v>
      </c>
      <c r="AH3929" s="2">
        <v>6</v>
      </c>
      <c r="AJ3929" s="2">
        <f t="shared" si="642"/>
        <v>0</v>
      </c>
      <c r="AK3929" s="2">
        <f t="shared" si="648"/>
        <v>4.03</v>
      </c>
      <c r="AL3929" s="5">
        <f t="shared" si="647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646"/>
        <v>0.58491111111111116</v>
      </c>
      <c r="Z3930" s="2" t="s">
        <v>3226</v>
      </c>
      <c r="AA3930" s="2" t="s">
        <v>46</v>
      </c>
      <c r="AB3930" s="2" t="s">
        <v>47</v>
      </c>
      <c r="AC3930" s="2" t="s">
        <v>57</v>
      </c>
      <c r="AF3930" s="2">
        <f t="shared" si="641"/>
        <v>0</v>
      </c>
      <c r="AG3930" s="2">
        <v>3.7357999999999998</v>
      </c>
      <c r="AH3930" s="2">
        <v>9</v>
      </c>
      <c r="AJ3930" s="2">
        <f t="shared" si="642"/>
        <v>0</v>
      </c>
      <c r="AK3930" s="2">
        <f t="shared" si="648"/>
        <v>5.2642000000000007</v>
      </c>
      <c r="AL3930" s="5">
        <f t="shared" si="647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646"/>
        <v>0.41111111111111109</v>
      </c>
      <c r="Z3931" s="2" t="s">
        <v>3226</v>
      </c>
      <c r="AA3931" s="2" t="s">
        <v>46</v>
      </c>
      <c r="AB3931" s="2" t="s">
        <v>56</v>
      </c>
      <c r="AC3931" s="2" t="s">
        <v>57</v>
      </c>
      <c r="AF3931" s="2">
        <f t="shared" si="641"/>
        <v>0</v>
      </c>
      <c r="AG3931" s="2">
        <v>10.6</v>
      </c>
      <c r="AH3931" s="2">
        <v>18</v>
      </c>
      <c r="AJ3931" s="2">
        <f t="shared" si="642"/>
        <v>0</v>
      </c>
      <c r="AK3931" s="2">
        <f t="shared" si="648"/>
        <v>37</v>
      </c>
      <c r="AL3931" s="5">
        <f t="shared" si="647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646"/>
        <v>0.24885496183206102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1"/>
        <v>0</v>
      </c>
      <c r="AG3932" s="2">
        <v>8.1999999999999993</v>
      </c>
      <c r="AH3932" s="2">
        <v>13</v>
      </c>
      <c r="AJ3932" s="2">
        <f t="shared" si="642"/>
        <v>0</v>
      </c>
      <c r="AK3932" s="2">
        <f t="shared" si="648"/>
        <v>32.599999999999994</v>
      </c>
      <c r="AL3932" s="5">
        <f t="shared" si="647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646"/>
        <v>0.42875000000000008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1"/>
        <v>0</v>
      </c>
      <c r="AJ3933" s="2">
        <f t="shared" si="642"/>
        <v>0</v>
      </c>
      <c r="AK3933" s="2">
        <f t="shared" si="648"/>
        <v>6.8600000000000012</v>
      </c>
      <c r="AL3933" s="5">
        <f t="shared" si="647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646"/>
        <v>0.36923076923076914</v>
      </c>
      <c r="Z3934" s="2" t="s">
        <v>3226</v>
      </c>
      <c r="AA3934" s="2" t="s">
        <v>46</v>
      </c>
      <c r="AB3934" s="2" t="s">
        <v>60</v>
      </c>
      <c r="AC3934" s="2" t="s">
        <v>57</v>
      </c>
      <c r="AF3934" s="2">
        <f t="shared" si="641"/>
        <v>0</v>
      </c>
      <c r="AG3934" s="2">
        <v>8.1999999999999993</v>
      </c>
      <c r="AH3934" s="2">
        <v>13</v>
      </c>
      <c r="AJ3934" s="2">
        <f t="shared" si="642"/>
        <v>0</v>
      </c>
      <c r="AK3934" s="2">
        <f t="shared" si="648"/>
        <v>4.7999999999999989</v>
      </c>
      <c r="AL3934" s="5">
        <f t="shared" si="647"/>
        <v>0.36923076923076914</v>
      </c>
    </row>
    <row r="3935" spans="1:38" x14ac:dyDescent="0.2">
      <c r="A3935" s="2">
        <v>2026</v>
      </c>
      <c r="B3935" s="2">
        <v>5</v>
      </c>
      <c r="C3935" s="2" t="s">
        <v>3434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646"/>
        <v>0.42947272727272723</v>
      </c>
      <c r="Z3935" s="2" t="s">
        <v>3226</v>
      </c>
      <c r="AA3935" s="2" t="s">
        <v>75</v>
      </c>
      <c r="AB3935" s="2" t="s">
        <v>76</v>
      </c>
      <c r="AC3935" s="2" t="s">
        <v>77</v>
      </c>
      <c r="AF3935" s="2">
        <f t="shared" si="641"/>
        <v>0</v>
      </c>
      <c r="AG3935" s="2">
        <v>125.51600000000001</v>
      </c>
      <c r="AH3935" s="2">
        <v>220</v>
      </c>
      <c r="AJ3935" s="2">
        <f t="shared" si="642"/>
        <v>0</v>
      </c>
      <c r="AK3935" s="2">
        <f t="shared" si="648"/>
        <v>94.483999999999995</v>
      </c>
      <c r="AL3935" s="5">
        <f t="shared" si="647"/>
        <v>0.42947272727272723</v>
      </c>
    </row>
    <row r="3936" spans="1:38" x14ac:dyDescent="0.2">
      <c r="A3936" s="2">
        <v>2026</v>
      </c>
      <c r="B3936" s="2">
        <v>5</v>
      </c>
      <c r="C3936" s="2" t="s">
        <v>3434</v>
      </c>
      <c r="D3936" s="2" t="s">
        <v>433</v>
      </c>
      <c r="E3936" s="2" t="s">
        <v>38</v>
      </c>
      <c r="F3936" s="2" t="s">
        <v>39</v>
      </c>
      <c r="G3936" s="2">
        <v>507405250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W3936" s="2">
        <v>1.48</v>
      </c>
      <c r="X3936" s="5">
        <f t="shared" si="646"/>
        <v>0</v>
      </c>
      <c r="Z3936" s="2" t="s">
        <v>3226</v>
      </c>
      <c r="AA3936" s="2" t="s">
        <v>96</v>
      </c>
      <c r="AB3936" s="2" t="s">
        <v>76</v>
      </c>
      <c r="AC3936" s="2" t="s">
        <v>93</v>
      </c>
      <c r="AF3936" s="2">
        <f t="shared" si="641"/>
        <v>0</v>
      </c>
      <c r="AJ3936" s="2">
        <f t="shared" si="642"/>
        <v>0</v>
      </c>
      <c r="AK3936" s="2">
        <f t="shared" si="648"/>
        <v>0</v>
      </c>
      <c r="AL3936" s="5">
        <f t="shared" si="647"/>
        <v>0</v>
      </c>
    </row>
    <row r="3937" spans="1:38" x14ac:dyDescent="0.2">
      <c r="A3937" s="2">
        <v>2026</v>
      </c>
      <c r="B3937" s="2">
        <v>5</v>
      </c>
      <c r="C3937" s="2" t="s">
        <v>3369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646"/>
        <v>0.35232383808095952</v>
      </c>
      <c r="Z3937" s="2" t="s">
        <v>3226</v>
      </c>
      <c r="AA3937" s="2" t="s">
        <v>75</v>
      </c>
      <c r="AB3937" s="2" t="s">
        <v>76</v>
      </c>
      <c r="AC3937" s="2" t="s">
        <v>1038</v>
      </c>
      <c r="AF3937" s="2">
        <f t="shared" si="641"/>
        <v>0</v>
      </c>
      <c r="AJ3937" s="2">
        <f t="shared" si="642"/>
        <v>0</v>
      </c>
      <c r="AK3937" s="2">
        <f t="shared" si="648"/>
        <v>94</v>
      </c>
      <c r="AL3937" s="5">
        <f t="shared" si="647"/>
        <v>0.35232383808095952</v>
      </c>
    </row>
    <row r="3938" spans="1:38" x14ac:dyDescent="0.2">
      <c r="A3938" s="2">
        <v>2026</v>
      </c>
      <c r="B3938" s="2">
        <v>5</v>
      </c>
      <c r="C3938" s="2" t="s">
        <v>3369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646"/>
        <v>0</v>
      </c>
      <c r="Z3938" s="2" t="s">
        <v>3226</v>
      </c>
      <c r="AA3938" s="2" t="s">
        <v>96</v>
      </c>
      <c r="AB3938" s="2" t="s">
        <v>76</v>
      </c>
      <c r="AC3938" s="2" t="s">
        <v>93</v>
      </c>
      <c r="AF3938" s="2">
        <f t="shared" si="641"/>
        <v>0</v>
      </c>
      <c r="AG3938" s="2">
        <v>1.48</v>
      </c>
      <c r="AH3938" s="2">
        <v>1.48</v>
      </c>
      <c r="AJ3938" s="2">
        <f t="shared" si="642"/>
        <v>0</v>
      </c>
      <c r="AK3938" s="2">
        <f t="shared" si="648"/>
        <v>0</v>
      </c>
      <c r="AL3938" s="5">
        <f t="shared" si="647"/>
        <v>0</v>
      </c>
    </row>
    <row r="3939" spans="1:38" x14ac:dyDescent="0.2">
      <c r="A3939" s="2">
        <v>2026</v>
      </c>
      <c r="B3939" s="2">
        <v>5</v>
      </c>
      <c r="C3939" s="2" t="s">
        <v>3449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O3939" s="2" t="s">
        <v>2959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646"/>
        <v>0.38066770186335414</v>
      </c>
      <c r="Z3939" s="2" t="s">
        <v>3226</v>
      </c>
      <c r="AA3939" s="2" t="s">
        <v>75</v>
      </c>
      <c r="AB3939" s="2" t="s">
        <v>76</v>
      </c>
      <c r="AC3939" s="2" t="s">
        <v>77</v>
      </c>
      <c r="AF3939" s="2">
        <f t="shared" si="641"/>
        <v>0</v>
      </c>
      <c r="AG3939" s="2">
        <f>144.14+15.4</f>
        <v>159.54</v>
      </c>
      <c r="AH3939" s="2">
        <v>280</v>
      </c>
      <c r="AJ3939" s="2">
        <f t="shared" si="642"/>
        <v>0</v>
      </c>
      <c r="AK3939" s="2">
        <f t="shared" si="648"/>
        <v>98.060000000000031</v>
      </c>
      <c r="AL3939" s="5">
        <f t="shared" si="647"/>
        <v>0.38066770186335414</v>
      </c>
    </row>
    <row r="3940" spans="1:38" x14ac:dyDescent="0.2">
      <c r="A3940" s="2">
        <v>2026</v>
      </c>
      <c r="B3940" s="2">
        <v>5</v>
      </c>
      <c r="C3940" s="2" t="s">
        <v>3449</v>
      </c>
      <c r="D3940" s="2" t="s">
        <v>1901</v>
      </c>
      <c r="E3940" s="2" t="s">
        <v>38</v>
      </c>
      <c r="F3940" s="2" t="s">
        <v>39</v>
      </c>
      <c r="G3940" s="2">
        <v>505757486</v>
      </c>
      <c r="L3940" s="2" t="s">
        <v>201</v>
      </c>
      <c r="M3940" s="2" t="s">
        <v>80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646"/>
        <v>0</v>
      </c>
      <c r="Z3940" s="2" t="s">
        <v>3226</v>
      </c>
      <c r="AA3940" s="2" t="s">
        <v>96</v>
      </c>
      <c r="AB3940" s="2" t="s">
        <v>76</v>
      </c>
      <c r="AC3940" s="2" t="s">
        <v>93</v>
      </c>
      <c r="AF3940" s="2">
        <f t="shared" si="641"/>
        <v>0</v>
      </c>
      <c r="AJ3940" s="2">
        <f t="shared" si="642"/>
        <v>0</v>
      </c>
      <c r="AK3940" s="2">
        <f t="shared" si="648"/>
        <v>0</v>
      </c>
      <c r="AL3940" s="5">
        <f t="shared" si="647"/>
        <v>0</v>
      </c>
    </row>
    <row r="3941" spans="1:38" x14ac:dyDescent="0.2">
      <c r="A3941" s="2">
        <v>2026</v>
      </c>
      <c r="B3941" s="2">
        <v>5</v>
      </c>
      <c r="C3941" s="2" t="s">
        <v>3434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X3941" s="18"/>
      <c r="Z3941" s="2" t="s">
        <v>119</v>
      </c>
      <c r="AA3941" s="2" t="s">
        <v>142</v>
      </c>
      <c r="AF3941" s="2">
        <f t="shared" si="641"/>
        <v>0</v>
      </c>
      <c r="AJ3941" s="2">
        <f t="shared" si="642"/>
        <v>0</v>
      </c>
      <c r="AK3941" s="2">
        <f t="shared" si="648"/>
        <v>-478.42</v>
      </c>
      <c r="AL3941" s="18"/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649">(T3942-W3942)/T3942</f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1"/>
        <v>0</v>
      </c>
      <c r="AG3942" s="2">
        <v>5.1349999999999998</v>
      </c>
      <c r="AJ3942" s="2">
        <f t="shared" si="642"/>
        <v>0</v>
      </c>
      <c r="AK3942" s="2">
        <f t="shared" ref="AK3942:AK3951" si="650">T3942-W3942</f>
        <v>17.650000000000006</v>
      </c>
      <c r="AL3942" s="5">
        <f t="shared" ref="AL3942:AL3947" si="651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649"/>
        <v>0.25579710144927542</v>
      </c>
      <c r="Z3943" s="2" t="s">
        <v>3226</v>
      </c>
      <c r="AA3943" s="2" t="s">
        <v>71</v>
      </c>
      <c r="AB3943" s="2" t="s">
        <v>119</v>
      </c>
      <c r="AC3943" s="2" t="s">
        <v>119</v>
      </c>
      <c r="AF3943" s="2">
        <f t="shared" si="641"/>
        <v>0</v>
      </c>
      <c r="AG3943" s="2">
        <v>5.1349999999999998</v>
      </c>
      <c r="AJ3943" s="2">
        <f t="shared" si="642"/>
        <v>0</v>
      </c>
      <c r="AK3943" s="2">
        <f t="shared" si="650"/>
        <v>17.650000000000006</v>
      </c>
      <c r="AL3943" s="5">
        <f t="shared" si="651"/>
        <v>0.25579710144927542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649"/>
        <v>0.31428571428571428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1"/>
        <v>0</v>
      </c>
      <c r="AG3944" s="2">
        <v>14.4</v>
      </c>
      <c r="AH3944" s="2">
        <v>21</v>
      </c>
      <c r="AJ3944" s="2">
        <f t="shared" si="642"/>
        <v>0</v>
      </c>
      <c r="AK3944" s="2">
        <f t="shared" si="650"/>
        <v>6.6</v>
      </c>
      <c r="AL3944" s="5">
        <f t="shared" si="651"/>
        <v>0.31428571428571428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649"/>
        <v>0.61904761904761907</v>
      </c>
      <c r="Z3945" s="2" t="s">
        <v>3226</v>
      </c>
      <c r="AA3945" s="2" t="s">
        <v>46</v>
      </c>
      <c r="AB3945" s="2" t="s">
        <v>47</v>
      </c>
      <c r="AC3945" s="2" t="s">
        <v>57</v>
      </c>
      <c r="AF3945" s="2">
        <f t="shared" si="641"/>
        <v>0</v>
      </c>
      <c r="AJ3945" s="2">
        <f t="shared" si="642"/>
        <v>0</v>
      </c>
      <c r="AK3945" s="2">
        <f t="shared" si="650"/>
        <v>26</v>
      </c>
      <c r="AL3945" s="5">
        <f t="shared" si="651"/>
        <v>0.61904761904761907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649"/>
        <v>0.48696666666666666</v>
      </c>
      <c r="Z3946" s="2" t="s">
        <v>3226</v>
      </c>
      <c r="AA3946" s="2" t="s">
        <v>46</v>
      </c>
      <c r="AB3946" s="2" t="s">
        <v>56</v>
      </c>
      <c r="AC3946" s="2" t="s">
        <v>57</v>
      </c>
      <c r="AF3946" s="2">
        <f t="shared" si="641"/>
        <v>0</v>
      </c>
      <c r="AG3946" s="2">
        <v>9.2346000000000004</v>
      </c>
      <c r="AJ3946" s="2">
        <f t="shared" si="642"/>
        <v>0</v>
      </c>
      <c r="AK3946" s="2">
        <f t="shared" si="650"/>
        <v>8.7653999999999996</v>
      </c>
      <c r="AL3946" s="5">
        <f t="shared" si="651"/>
        <v>0.48696666666666666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649"/>
        <v>0.25454545454545452</v>
      </c>
      <c r="Z3947" s="2" t="s">
        <v>3226</v>
      </c>
      <c r="AA3947" s="2" t="s">
        <v>46</v>
      </c>
      <c r="AB3947" s="2" t="s">
        <v>60</v>
      </c>
      <c r="AC3947" s="2" t="s">
        <v>57</v>
      </c>
      <c r="AF3947" s="2">
        <f t="shared" si="641"/>
        <v>0</v>
      </c>
      <c r="AG3947" s="2">
        <v>8.1999999999999993</v>
      </c>
      <c r="AH3947" s="2">
        <v>13</v>
      </c>
      <c r="AJ3947" s="2">
        <f t="shared" si="642"/>
        <v>0</v>
      </c>
      <c r="AK3947" s="2">
        <f t="shared" si="650"/>
        <v>28</v>
      </c>
      <c r="AL3947" s="5">
        <f t="shared" si="651"/>
        <v>0.25454545454545452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2964</v>
      </c>
      <c r="R3948" s="2" t="s">
        <v>2965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1"/>
        <v>0</v>
      </c>
      <c r="AG3948" s="2">
        <v>19.68</v>
      </c>
      <c r="AJ3948" s="2">
        <f t="shared" si="642"/>
        <v>0</v>
      </c>
      <c r="AK3948" s="2">
        <f t="shared" si="650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2960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2961</v>
      </c>
      <c r="J3949" s="2" t="s">
        <v>2962</v>
      </c>
      <c r="K3949" s="2">
        <v>966567958</v>
      </c>
      <c r="L3949" s="2" t="s">
        <v>344</v>
      </c>
      <c r="M3949" s="2" t="s">
        <v>80</v>
      </c>
      <c r="O3949" s="2" t="s">
        <v>2963</v>
      </c>
      <c r="P3949" s="2" t="s">
        <v>43</v>
      </c>
      <c r="Q3949" s="2" t="s">
        <v>2966</v>
      </c>
      <c r="R3949" s="2" t="s">
        <v>2967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3226</v>
      </c>
      <c r="AA3949" s="2" t="s">
        <v>46</v>
      </c>
      <c r="AB3949" s="2" t="s">
        <v>56</v>
      </c>
      <c r="AC3949" s="2" t="s">
        <v>57</v>
      </c>
      <c r="AF3949" s="2">
        <f t="shared" si="641"/>
        <v>0</v>
      </c>
      <c r="AG3949" s="2">
        <v>11.525</v>
      </c>
      <c r="AJ3949" s="2">
        <f t="shared" si="642"/>
        <v>0</v>
      </c>
      <c r="AK3949" s="2">
        <f t="shared" si="650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2968</v>
      </c>
      <c r="J3950" s="2" t="s">
        <v>2969</v>
      </c>
      <c r="K3950" s="2">
        <v>939310247</v>
      </c>
      <c r="L3950" s="2" t="s">
        <v>461</v>
      </c>
      <c r="M3950" s="2" t="s">
        <v>40</v>
      </c>
      <c r="O3950" s="2" t="s">
        <v>2970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641"/>
        <v>0</v>
      </c>
      <c r="AG3950" s="2">
        <v>25.2</v>
      </c>
      <c r="AJ3950" s="2">
        <f t="shared" si="642"/>
        <v>0</v>
      </c>
      <c r="AK3950" s="2">
        <f t="shared" si="650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M3951" s="2" t="s">
        <v>40</v>
      </c>
      <c r="O3951" s="2" t="s">
        <v>2971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18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641"/>
        <v>0</v>
      </c>
      <c r="AG3951" s="2">
        <f>4893.23+171</f>
        <v>5064.2299999999996</v>
      </c>
      <c r="AJ3951" s="2">
        <f t="shared" si="642"/>
        <v>0</v>
      </c>
      <c r="AK3951" s="2">
        <f t="shared" si="650"/>
        <v>-12054.23</v>
      </c>
      <c r="AL3951" s="18">
        <f t="shared" ref="AL3951" si="652"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3449</v>
      </c>
      <c r="D3952" s="2" t="s">
        <v>3447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2972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653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641"/>
        <v>0</v>
      </c>
      <c r="AG3952" s="2">
        <v>6468.73</v>
      </c>
      <c r="AJ3952" s="2">
        <f t="shared" si="642"/>
        <v>0</v>
      </c>
      <c r="AK3952" s="2">
        <f t="shared" ref="AK3952:AK3983" si="654">T3952-W3952</f>
        <v>3461.2700000000004</v>
      </c>
      <c r="AL3952" s="5">
        <f t="shared" ref="AL3952:AL3983" si="655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3369</v>
      </c>
      <c r="D3953" s="2" t="s">
        <v>3448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2973</v>
      </c>
      <c r="P3953" s="2" t="s">
        <v>3229</v>
      </c>
      <c r="Q3953" s="2" t="s">
        <v>2974</v>
      </c>
      <c r="R3953" s="2" t="s">
        <v>2975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653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3229</v>
      </c>
      <c r="AF3953" s="2">
        <f t="shared" si="641"/>
        <v>0</v>
      </c>
      <c r="AJ3953" s="2">
        <f t="shared" si="642"/>
        <v>0</v>
      </c>
      <c r="AK3953" s="2">
        <f t="shared" si="654"/>
        <v>1163.8</v>
      </c>
      <c r="AL3953" s="5">
        <f t="shared" si="655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653"/>
        <v>0.46762608695652175</v>
      </c>
      <c r="Z3954" s="2" t="s">
        <v>3226</v>
      </c>
      <c r="AA3954" s="2" t="s">
        <v>75</v>
      </c>
      <c r="AB3954" s="2" t="s">
        <v>76</v>
      </c>
      <c r="AC3954" s="2" t="s">
        <v>77</v>
      </c>
      <c r="AF3954" s="2">
        <f t="shared" si="641"/>
        <v>0</v>
      </c>
      <c r="AG3954" s="2">
        <v>122.446</v>
      </c>
      <c r="AH3954" s="2">
        <v>230</v>
      </c>
      <c r="AJ3954" s="2">
        <f t="shared" si="642"/>
        <v>0</v>
      </c>
      <c r="AK3954" s="2">
        <f t="shared" si="654"/>
        <v>107.554</v>
      </c>
      <c r="AL3954" s="5">
        <f t="shared" si="655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653"/>
        <v>0</v>
      </c>
      <c r="Z3955" s="2" t="s">
        <v>3226</v>
      </c>
      <c r="AA3955" s="2" t="s">
        <v>96</v>
      </c>
      <c r="AB3955" s="2" t="s">
        <v>76</v>
      </c>
      <c r="AC3955" s="2" t="s">
        <v>93</v>
      </c>
      <c r="AF3955" s="2">
        <f t="shared" si="641"/>
        <v>0</v>
      </c>
      <c r="AJ3955" s="2">
        <f t="shared" si="642"/>
        <v>0</v>
      </c>
      <c r="AK3955" s="2">
        <f t="shared" si="654"/>
        <v>0</v>
      </c>
      <c r="AL3955" s="5">
        <f t="shared" si="655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653"/>
        <v>0.44777500000000003</v>
      </c>
      <c r="Z3956" s="2" t="s">
        <v>3226</v>
      </c>
      <c r="AA3956" s="2" t="s">
        <v>46</v>
      </c>
      <c r="AB3956" s="2" t="s">
        <v>47</v>
      </c>
      <c r="AC3956" s="2" t="s">
        <v>57</v>
      </c>
      <c r="AF3956" s="2">
        <f t="shared" si="641"/>
        <v>0</v>
      </c>
      <c r="AG3956" s="2">
        <v>6.6266999999999996</v>
      </c>
      <c r="AH3956" s="2">
        <v>12</v>
      </c>
      <c r="AJ3956" s="2">
        <f t="shared" si="642"/>
        <v>0</v>
      </c>
      <c r="AK3956" s="2">
        <f t="shared" si="654"/>
        <v>5.3733000000000004</v>
      </c>
      <c r="AL3956" s="5">
        <f t="shared" si="655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2976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653"/>
        <v>0.41111111111111115</v>
      </c>
      <c r="Z3957" s="2" t="s">
        <v>3226</v>
      </c>
      <c r="AA3957" s="2" t="s">
        <v>46</v>
      </c>
      <c r="AB3957" s="2" t="s">
        <v>56</v>
      </c>
      <c r="AC3957" s="2" t="s">
        <v>57</v>
      </c>
      <c r="AF3957" s="2">
        <f t="shared" si="641"/>
        <v>0</v>
      </c>
      <c r="AG3957" s="2">
        <v>10.6</v>
      </c>
      <c r="AH3957" s="2">
        <v>18</v>
      </c>
      <c r="AJ3957" s="2">
        <f t="shared" si="642"/>
        <v>0</v>
      </c>
      <c r="AK3957" s="2">
        <f t="shared" si="654"/>
        <v>14.8</v>
      </c>
      <c r="AL3957" s="5">
        <f t="shared" si="655"/>
        <v>0.41111111111111115</v>
      </c>
    </row>
    <row r="3958" spans="1:38" x14ac:dyDescent="0.2">
      <c r="A3958" s="2">
        <v>2026</v>
      </c>
      <c r="B3958" s="2">
        <v>5</v>
      </c>
      <c r="C3958" s="2" t="s">
        <v>3369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f>71.381</f>
        <v>71.381</v>
      </c>
      <c r="X3958" s="5">
        <f t="shared" si="653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1"/>
        <v>0</v>
      </c>
      <c r="AG3958" s="2">
        <v>71.381</v>
      </c>
      <c r="AJ3958" s="2">
        <f t="shared" si="642"/>
        <v>0</v>
      </c>
      <c r="AK3958" s="2">
        <f t="shared" si="654"/>
        <v>81.028999999999996</v>
      </c>
      <c r="AL3958" s="5">
        <f t="shared" si="655"/>
        <v>0.53165146643921002</v>
      </c>
    </row>
    <row r="3959" spans="1:38" x14ac:dyDescent="0.2">
      <c r="A3959" s="2">
        <v>2026</v>
      </c>
      <c r="B3959" s="2">
        <v>5</v>
      </c>
      <c r="C3959" s="2" t="s">
        <v>3369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2977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653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641"/>
        <v>0</v>
      </c>
      <c r="AG3959" s="2">
        <f>9.75+0.63</f>
        <v>10.38</v>
      </c>
      <c r="AJ3959" s="2">
        <f t="shared" si="642"/>
        <v>0</v>
      </c>
      <c r="AK3959" s="2">
        <f t="shared" si="654"/>
        <v>22.23</v>
      </c>
      <c r="AL3959" s="5">
        <f t="shared" si="655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653"/>
        <v>0.46762608695652175</v>
      </c>
      <c r="Z3960" s="2" t="s">
        <v>3226</v>
      </c>
      <c r="AA3960" s="2" t="s">
        <v>75</v>
      </c>
      <c r="AB3960" s="2" t="s">
        <v>76</v>
      </c>
      <c r="AC3960" s="2" t="s">
        <v>77</v>
      </c>
      <c r="AF3960" s="2">
        <f t="shared" si="641"/>
        <v>0</v>
      </c>
      <c r="AG3960" s="2">
        <v>122.446</v>
      </c>
      <c r="AH3960" s="2">
        <v>230</v>
      </c>
      <c r="AJ3960" s="2">
        <f t="shared" si="642"/>
        <v>0</v>
      </c>
      <c r="AK3960" s="2">
        <f t="shared" si="654"/>
        <v>107.554</v>
      </c>
      <c r="AL3960" s="5">
        <f t="shared" si="655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2978</v>
      </c>
      <c r="R3961" s="2" t="s">
        <v>2979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653"/>
        <v>0.41537037037037039</v>
      </c>
      <c r="Z3961" s="2" t="s">
        <v>3226</v>
      </c>
      <c r="AA3961" s="2" t="s">
        <v>75</v>
      </c>
      <c r="AB3961" s="2" t="s">
        <v>76</v>
      </c>
      <c r="AC3961" s="2" t="s">
        <v>1038</v>
      </c>
      <c r="AF3961" s="2">
        <f t="shared" si="641"/>
        <v>0</v>
      </c>
      <c r="AJ3961" s="2">
        <f t="shared" si="642"/>
        <v>0</v>
      </c>
      <c r="AK3961" s="2">
        <f t="shared" si="654"/>
        <v>112.15</v>
      </c>
      <c r="AL3961" s="5">
        <f t="shared" si="655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653"/>
        <v>0</v>
      </c>
      <c r="Z3962" s="2" t="s">
        <v>3226</v>
      </c>
      <c r="AA3962" s="2" t="s">
        <v>96</v>
      </c>
      <c r="AB3962" s="2" t="s">
        <v>76</v>
      </c>
      <c r="AC3962" s="2" t="s">
        <v>93</v>
      </c>
      <c r="AF3962" s="2">
        <f t="shared" si="641"/>
        <v>0</v>
      </c>
      <c r="AJ3962" s="2">
        <f t="shared" si="642"/>
        <v>0</v>
      </c>
      <c r="AK3962" s="2">
        <f t="shared" si="654"/>
        <v>0</v>
      </c>
      <c r="AL3962" s="5">
        <f t="shared" si="655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2980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653"/>
        <v>1</v>
      </c>
      <c r="Z3963" s="2" t="s">
        <v>119</v>
      </c>
      <c r="AA3963" s="2" t="s">
        <v>492</v>
      </c>
      <c r="AF3963" s="2">
        <f t="shared" si="641"/>
        <v>0</v>
      </c>
      <c r="AJ3963" s="2">
        <f t="shared" si="642"/>
        <v>0</v>
      </c>
      <c r="AK3963" s="2">
        <f t="shared" si="654"/>
        <v>1357.82</v>
      </c>
      <c r="AL3963" s="5">
        <f t="shared" si="655"/>
        <v>1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653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1"/>
        <v>0</v>
      </c>
      <c r="AG3964" s="2">
        <f>88.6+1.81</f>
        <v>90.41</v>
      </c>
      <c r="AJ3964" s="2">
        <f t="shared" si="642"/>
        <v>0</v>
      </c>
      <c r="AK3964" s="2">
        <f t="shared" si="654"/>
        <v>97.509999999999991</v>
      </c>
      <c r="AL3964" s="5">
        <f t="shared" si="655"/>
        <v>0.51889101745423583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114</v>
      </c>
      <c r="Q3965" s="2" t="s">
        <v>795</v>
      </c>
      <c r="R3965" s="2" t="s">
        <v>2984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f>13.715*S3965</f>
        <v>13.715</v>
      </c>
      <c r="X3965" s="5">
        <f t="shared" si="653"/>
        <v>0.51673713883016203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641"/>
        <v>0</v>
      </c>
      <c r="AG3965" s="2">
        <f>12.87+0.3</f>
        <v>13.17</v>
      </c>
      <c r="AJ3965" s="2">
        <f t="shared" si="642"/>
        <v>0</v>
      </c>
      <c r="AK3965" s="2">
        <f t="shared" si="654"/>
        <v>14.664999999999999</v>
      </c>
      <c r="AL3965" s="5">
        <f t="shared" si="655"/>
        <v>0.51673713883016203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653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641"/>
        <v>0</v>
      </c>
      <c r="AG3966" s="2">
        <f>W3966</f>
        <v>37.6</v>
      </c>
      <c r="AJ3966" s="2">
        <f t="shared" si="642"/>
        <v>0</v>
      </c>
      <c r="AK3966" s="2">
        <f t="shared" si="654"/>
        <v>56.4</v>
      </c>
      <c r="AL3966" s="5">
        <f t="shared" si="655"/>
        <v>0.6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653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641"/>
        <v>0</v>
      </c>
      <c r="AG3967" s="2">
        <f>W3967</f>
        <v>27.5</v>
      </c>
      <c r="AJ3967" s="2">
        <f t="shared" si="642"/>
        <v>0</v>
      </c>
      <c r="AK3967" s="2">
        <f t="shared" si="654"/>
        <v>27.5</v>
      </c>
      <c r="AL3967" s="5">
        <f t="shared" si="655"/>
        <v>0.5</v>
      </c>
    </row>
    <row r="3968" spans="1:38" x14ac:dyDescent="0.2">
      <c r="A3968" s="2">
        <v>2026</v>
      </c>
      <c r="B3968" s="2">
        <v>5</v>
      </c>
      <c r="D3968" s="2" t="s">
        <v>2981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2982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2983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653"/>
        <v>1</v>
      </c>
      <c r="Z3968" s="2" t="s">
        <v>117</v>
      </c>
      <c r="AA3968" s="2" t="s">
        <v>1310</v>
      </c>
      <c r="AF3968" s="2">
        <f t="shared" si="641"/>
        <v>0</v>
      </c>
      <c r="AJ3968" s="2">
        <f t="shared" si="642"/>
        <v>0</v>
      </c>
      <c r="AK3968" s="2">
        <f t="shared" si="654"/>
        <v>87.5</v>
      </c>
      <c r="AL3968" s="5">
        <f t="shared" si="655"/>
        <v>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653"/>
        <v>0.4729523809523809</v>
      </c>
      <c r="Z3969" s="2" t="s">
        <v>3226</v>
      </c>
      <c r="AA3969" s="2" t="s">
        <v>75</v>
      </c>
      <c r="AB3969" s="2" t="s">
        <v>76</v>
      </c>
      <c r="AC3969" s="2" t="s">
        <v>77</v>
      </c>
      <c r="AF3969" s="2">
        <f t="shared" si="641"/>
        <v>0</v>
      </c>
      <c r="AG3969" s="2">
        <v>110.68</v>
      </c>
      <c r="AH3969" s="2">
        <v>210</v>
      </c>
      <c r="AJ3969" s="2">
        <f t="shared" si="642"/>
        <v>0</v>
      </c>
      <c r="AK3969" s="2">
        <f t="shared" si="654"/>
        <v>198.64</v>
      </c>
      <c r="AL3969" s="5">
        <f t="shared" si="655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2985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653"/>
        <v>0</v>
      </c>
      <c r="Z3970" s="2" t="s">
        <v>3226</v>
      </c>
      <c r="AA3970" s="2" t="s">
        <v>96</v>
      </c>
      <c r="AB3970" s="2" t="s">
        <v>76</v>
      </c>
      <c r="AC3970" s="2" t="s">
        <v>93</v>
      </c>
      <c r="AF3970" s="2">
        <f t="shared" ref="AF3970:AF4033" si="656">AJ3970</f>
        <v>0</v>
      </c>
      <c r="AJ3970" s="2">
        <f t="shared" ref="AJ3970:AJ4033" si="657">AI3970*T3970</f>
        <v>0</v>
      </c>
      <c r="AK3970" s="2">
        <f t="shared" si="654"/>
        <v>0</v>
      </c>
      <c r="AL3970" s="5">
        <f t="shared" si="655"/>
        <v>0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3226</v>
      </c>
      <c r="AA3971" s="2" t="s">
        <v>75</v>
      </c>
      <c r="AB3971" s="2" t="s">
        <v>76</v>
      </c>
      <c r="AC3971" s="2" t="s">
        <v>77</v>
      </c>
      <c r="AF3971" s="2">
        <f t="shared" si="656"/>
        <v>0</v>
      </c>
      <c r="AG3971" s="2">
        <v>125.51600000000001</v>
      </c>
      <c r="AH3971" s="2">
        <v>220</v>
      </c>
      <c r="AJ3971" s="2">
        <f t="shared" si="657"/>
        <v>0</v>
      </c>
      <c r="AK3971" s="2">
        <f t="shared" si="654"/>
        <v>94.483999999999995</v>
      </c>
      <c r="AL3971" s="5">
        <f t="shared" si="655"/>
        <v>0.42947272727272723</v>
      </c>
    </row>
    <row r="3972" spans="1:38" x14ac:dyDescent="0.2">
      <c r="A3972" s="2">
        <v>2026</v>
      </c>
      <c r="B3972" s="2">
        <v>5</v>
      </c>
      <c r="D3972" s="2" t="s">
        <v>2986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658">(T3972-W3972)/T3972</f>
        <v>0</v>
      </c>
      <c r="Z3972" s="2" t="s">
        <v>3226</v>
      </c>
      <c r="AA3972" s="2" t="s">
        <v>96</v>
      </c>
      <c r="AB3972" s="2" t="s">
        <v>76</v>
      </c>
      <c r="AC3972" s="2" t="s">
        <v>93</v>
      </c>
      <c r="AF3972" s="2">
        <f t="shared" si="656"/>
        <v>0</v>
      </c>
      <c r="AJ3972" s="2">
        <f t="shared" si="657"/>
        <v>0</v>
      </c>
      <c r="AK3972" s="2">
        <f t="shared" si="654"/>
        <v>0</v>
      </c>
      <c r="AL3972" s="5">
        <f t="shared" si="655"/>
        <v>0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658"/>
        <v>0.44659999999999994</v>
      </c>
      <c r="Z3973" s="2" t="s">
        <v>3226</v>
      </c>
      <c r="AA3973" s="2" t="s">
        <v>75</v>
      </c>
      <c r="AB3973" s="2" t="s">
        <v>76</v>
      </c>
      <c r="AC3973" s="2" t="s">
        <v>77</v>
      </c>
      <c r="AF3973" s="2">
        <f t="shared" si="656"/>
        <v>0</v>
      </c>
      <c r="AG3973" s="2">
        <v>110.68</v>
      </c>
      <c r="AH3973" s="2">
        <v>210</v>
      </c>
      <c r="AJ3973" s="2">
        <f t="shared" si="657"/>
        <v>0</v>
      </c>
      <c r="AK3973" s="2">
        <f t="shared" si="654"/>
        <v>89.32</v>
      </c>
      <c r="AL3973" s="5">
        <f t="shared" si="655"/>
        <v>0.44659999999999994</v>
      </c>
    </row>
    <row r="3974" spans="1:38" x14ac:dyDescent="0.2">
      <c r="A3974" s="2">
        <v>2026</v>
      </c>
      <c r="B3974" s="2">
        <v>5</v>
      </c>
      <c r="D3974" s="2" t="s">
        <v>2987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658"/>
        <v>0</v>
      </c>
      <c r="Z3974" s="2" t="s">
        <v>3226</v>
      </c>
      <c r="AA3974" s="2" t="s">
        <v>96</v>
      </c>
      <c r="AB3974" s="2" t="s">
        <v>76</v>
      </c>
      <c r="AC3974" s="2" t="s">
        <v>93</v>
      </c>
      <c r="AF3974" s="2">
        <f t="shared" si="656"/>
        <v>0</v>
      </c>
      <c r="AJ3974" s="2">
        <f t="shared" si="657"/>
        <v>0</v>
      </c>
      <c r="AK3974" s="2">
        <f t="shared" si="654"/>
        <v>0</v>
      </c>
      <c r="AL3974" s="5">
        <f t="shared" si="655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658"/>
        <v>0.37426086956521742</v>
      </c>
      <c r="Z3975" s="2" t="s">
        <v>3226</v>
      </c>
      <c r="AA3975" s="2" t="s">
        <v>75</v>
      </c>
      <c r="AB3975" s="2" t="s">
        <v>76</v>
      </c>
      <c r="AC3975" s="2" t="s">
        <v>77</v>
      </c>
      <c r="AF3975" s="2">
        <f t="shared" si="656"/>
        <v>0</v>
      </c>
      <c r="AG3975" s="2">
        <v>143.91999999999999</v>
      </c>
      <c r="AJ3975" s="2">
        <f t="shared" si="657"/>
        <v>0</v>
      </c>
      <c r="AK3975" s="2">
        <f t="shared" si="654"/>
        <v>86.080000000000013</v>
      </c>
      <c r="AL3975" s="5">
        <f t="shared" si="655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2988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658"/>
        <v>0</v>
      </c>
      <c r="Z3976" s="2" t="s">
        <v>3226</v>
      </c>
      <c r="AA3976" s="2" t="s">
        <v>96</v>
      </c>
      <c r="AB3976" s="2" t="s">
        <v>76</v>
      </c>
      <c r="AC3976" s="2" t="s">
        <v>93</v>
      </c>
      <c r="AF3976" s="2">
        <f t="shared" si="656"/>
        <v>0</v>
      </c>
      <c r="AG3976" s="2">
        <v>1.48</v>
      </c>
      <c r="AH3976" s="2">
        <v>1.48</v>
      </c>
      <c r="AJ3976" s="2">
        <f t="shared" si="657"/>
        <v>0</v>
      </c>
      <c r="AK3976" s="2">
        <f t="shared" si="654"/>
        <v>0</v>
      </c>
      <c r="AL3976" s="5">
        <f t="shared" si="655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658"/>
        <v>0.53546153846153843</v>
      </c>
      <c r="Z3977" s="2" t="s">
        <v>3226</v>
      </c>
      <c r="AA3977" s="2" t="s">
        <v>75</v>
      </c>
      <c r="AB3977" s="2" t="s">
        <v>76</v>
      </c>
      <c r="AC3977" s="2" t="s">
        <v>77</v>
      </c>
      <c r="AF3977" s="2">
        <f t="shared" si="656"/>
        <v>0</v>
      </c>
      <c r="AG3977" s="2">
        <v>120.78</v>
      </c>
      <c r="AH3977" s="2">
        <v>210</v>
      </c>
      <c r="AJ3977" s="2">
        <f t="shared" si="657"/>
        <v>0</v>
      </c>
      <c r="AK3977" s="2">
        <f t="shared" si="654"/>
        <v>139.22</v>
      </c>
      <c r="AL3977" s="5">
        <f t="shared" si="655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3233</v>
      </c>
      <c r="J3978" s="2" t="s">
        <v>3234</v>
      </c>
      <c r="L3978" s="2" t="s">
        <v>571</v>
      </c>
      <c r="M3978" s="2" t="s">
        <v>80</v>
      </c>
      <c r="O3978" s="2" t="s">
        <v>3236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658"/>
        <v>0</v>
      </c>
      <c r="Z3978" s="2" t="s">
        <v>3226</v>
      </c>
      <c r="AA3978" s="2" t="s">
        <v>96</v>
      </c>
      <c r="AB3978" s="2" t="s">
        <v>76</v>
      </c>
      <c r="AC3978" s="2" t="s">
        <v>93</v>
      </c>
      <c r="AF3978" s="2">
        <f t="shared" si="656"/>
        <v>0</v>
      </c>
      <c r="AJ3978" s="2">
        <f t="shared" si="657"/>
        <v>0</v>
      </c>
      <c r="AK3978" s="2">
        <f t="shared" si="654"/>
        <v>0</v>
      </c>
      <c r="AL3978" s="5">
        <f t="shared" si="655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658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656"/>
        <v>0</v>
      </c>
      <c r="AG3979" s="2">
        <f>W3979</f>
        <v>24</v>
      </c>
      <c r="AJ3979" s="2">
        <f t="shared" si="657"/>
        <v>0</v>
      </c>
      <c r="AK3979" s="2">
        <f t="shared" si="654"/>
        <v>36</v>
      </c>
      <c r="AL3979" s="5">
        <f t="shared" si="655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658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656"/>
        <v>0</v>
      </c>
      <c r="AG3980" s="2">
        <f>W3980</f>
        <v>27.5</v>
      </c>
      <c r="AJ3980" s="2">
        <f t="shared" si="657"/>
        <v>0</v>
      </c>
      <c r="AK3980" s="2">
        <f t="shared" si="654"/>
        <v>27.5</v>
      </c>
      <c r="AL3980" s="5">
        <f t="shared" si="655"/>
        <v>0.5</v>
      </c>
    </row>
    <row r="3981" spans="1:38" x14ac:dyDescent="0.2">
      <c r="A3981" s="2">
        <v>2026</v>
      </c>
      <c r="B3981" s="2">
        <v>5</v>
      </c>
      <c r="C3981" s="2" t="s">
        <v>3369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2989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656"/>
        <v>0</v>
      </c>
      <c r="AG3981" s="2">
        <v>10.15</v>
      </c>
      <c r="AJ3981" s="2">
        <f t="shared" si="657"/>
        <v>0</v>
      </c>
      <c r="AK3981" s="2">
        <f t="shared" si="654"/>
        <v>-68.86</v>
      </c>
      <c r="AL3981" s="18"/>
    </row>
    <row r="3982" spans="1:38" x14ac:dyDescent="0.2">
      <c r="A3982" s="2">
        <v>2026</v>
      </c>
      <c r="B3982" s="2">
        <v>5</v>
      </c>
      <c r="C3982" s="2" t="s">
        <v>3369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659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656"/>
        <v>0</v>
      </c>
      <c r="AG3982" s="2">
        <f>W3982</f>
        <v>58.800000000000004</v>
      </c>
      <c r="AJ3982" s="2">
        <f t="shared" si="657"/>
        <v>0</v>
      </c>
      <c r="AK3982" s="2">
        <f t="shared" si="654"/>
        <v>88.199999999999989</v>
      </c>
      <c r="AL3982" s="5">
        <f t="shared" si="655"/>
        <v>0.6</v>
      </c>
    </row>
    <row r="3983" spans="1:38" x14ac:dyDescent="0.2">
      <c r="A3983" s="2">
        <v>2026</v>
      </c>
      <c r="B3983" s="2">
        <v>5</v>
      </c>
      <c r="C3983" s="2" t="s">
        <v>3369</v>
      </c>
      <c r="D3983" s="2" t="s">
        <v>2049</v>
      </c>
      <c r="E3983" s="2" t="s">
        <v>108</v>
      </c>
      <c r="F3983" s="2" t="s">
        <v>39</v>
      </c>
      <c r="G3983" s="2">
        <v>514960337</v>
      </c>
      <c r="H3983" s="2" t="s">
        <v>290</v>
      </c>
      <c r="I3983" s="2" t="s">
        <v>2779</v>
      </c>
      <c r="J3983" s="2" t="s">
        <v>2820</v>
      </c>
      <c r="K3983" s="2">
        <v>914732950</v>
      </c>
      <c r="L3983" s="2" t="s">
        <v>480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659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656"/>
        <v>0</v>
      </c>
      <c r="AG3983" s="2">
        <f>W3983</f>
        <v>27.5</v>
      </c>
      <c r="AJ3983" s="2">
        <f t="shared" si="657"/>
        <v>0</v>
      </c>
      <c r="AK3983" s="2">
        <f t="shared" si="654"/>
        <v>27.5</v>
      </c>
      <c r="AL3983" s="5">
        <f t="shared" si="655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659"/>
        <v>0.37321392902323725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56"/>
        <v>0</v>
      </c>
      <c r="AG3984" s="2">
        <v>125.51600000000001</v>
      </c>
      <c r="AH3984" s="2">
        <v>220</v>
      </c>
      <c r="AJ3984" s="2">
        <f t="shared" si="657"/>
        <v>0</v>
      </c>
      <c r="AK3984" s="2">
        <f t="shared" ref="AK3984:AK4015" si="660">T3984-W3984</f>
        <v>224.21199999999999</v>
      </c>
      <c r="AL3984" s="5">
        <f t="shared" ref="AL3984:AL4019" si="661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659"/>
        <v>0.56271602692377654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56"/>
        <v>0</v>
      </c>
      <c r="AJ3985" s="2">
        <f t="shared" si="657"/>
        <v>0</v>
      </c>
      <c r="AK3985" s="2">
        <f t="shared" si="660"/>
        <v>123.72999999999999</v>
      </c>
      <c r="AL3985" s="5">
        <f t="shared" si="661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659"/>
        <v>0.47693761814744795</v>
      </c>
      <c r="Z3986" s="2" t="s">
        <v>3226</v>
      </c>
      <c r="AA3986" s="2" t="s">
        <v>75</v>
      </c>
      <c r="AB3986" s="2" t="s">
        <v>76</v>
      </c>
      <c r="AC3986" s="2" t="s">
        <v>77</v>
      </c>
      <c r="AF3986" s="2">
        <f t="shared" si="656"/>
        <v>0</v>
      </c>
      <c r="AG3986" s="2">
        <v>110.68</v>
      </c>
      <c r="AH3986" s="2">
        <v>210</v>
      </c>
      <c r="AJ3986" s="2">
        <f t="shared" si="657"/>
        <v>0</v>
      </c>
      <c r="AK3986" s="2">
        <f t="shared" si="660"/>
        <v>100.91999999999999</v>
      </c>
      <c r="AL3986" s="5">
        <f t="shared" si="661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659"/>
        <v>0</v>
      </c>
      <c r="Z3987" s="2" t="s">
        <v>3226</v>
      </c>
      <c r="AA3987" s="2" t="s">
        <v>96</v>
      </c>
      <c r="AB3987" s="2" t="s">
        <v>76</v>
      </c>
      <c r="AC3987" s="2" t="s">
        <v>93</v>
      </c>
      <c r="AF3987" s="2">
        <f t="shared" si="656"/>
        <v>0</v>
      </c>
      <c r="AJ3987" s="2">
        <f t="shared" si="657"/>
        <v>0</v>
      </c>
      <c r="AK3987" s="2">
        <f t="shared" si="660"/>
        <v>0</v>
      </c>
      <c r="AL3987" s="5">
        <f t="shared" si="661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2990</v>
      </c>
      <c r="R3988" s="2" t="s">
        <v>2991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659"/>
        <v>0.41106099656357398</v>
      </c>
      <c r="Z3988" s="2" t="s">
        <v>3226</v>
      </c>
      <c r="AA3988" s="2" t="s">
        <v>75</v>
      </c>
      <c r="AB3988" s="2" t="s">
        <v>76</v>
      </c>
      <c r="AC3988" s="2" t="s">
        <v>1038</v>
      </c>
      <c r="AF3988" s="2">
        <f t="shared" si="656"/>
        <v>0</v>
      </c>
      <c r="AJ3988" s="2">
        <f t="shared" si="657"/>
        <v>0</v>
      </c>
      <c r="AK3988" s="2">
        <f t="shared" si="660"/>
        <v>191.39000000000004</v>
      </c>
      <c r="AL3988" s="5">
        <f t="shared" si="661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659"/>
        <v>0.23333333333333334</v>
      </c>
      <c r="Z3989" s="2" t="s">
        <v>169</v>
      </c>
      <c r="AA3989" s="2" t="s">
        <v>169</v>
      </c>
      <c r="AF3989" s="2">
        <f t="shared" si="656"/>
        <v>0</v>
      </c>
      <c r="AJ3989" s="2">
        <f t="shared" si="657"/>
        <v>0</v>
      </c>
      <c r="AK3989" s="2">
        <f t="shared" si="660"/>
        <v>7</v>
      </c>
      <c r="AL3989" s="5">
        <f t="shared" si="661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659"/>
        <v>0</v>
      </c>
      <c r="Z3990" s="2" t="s">
        <v>3226</v>
      </c>
      <c r="AA3990" s="2" t="s">
        <v>96</v>
      </c>
      <c r="AB3990" s="2" t="s">
        <v>76</v>
      </c>
      <c r="AC3990" s="2" t="s">
        <v>93</v>
      </c>
      <c r="AF3990" s="2">
        <f t="shared" si="656"/>
        <v>0</v>
      </c>
      <c r="AJ3990" s="2">
        <f t="shared" si="657"/>
        <v>0</v>
      </c>
      <c r="AK3990" s="2">
        <f t="shared" si="660"/>
        <v>0</v>
      </c>
      <c r="AL3990" s="5">
        <f t="shared" si="661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659"/>
        <v>0.12471332542506916</v>
      </c>
      <c r="Z3991" s="2" t="s">
        <v>3226</v>
      </c>
      <c r="AA3991" s="2" t="s">
        <v>75</v>
      </c>
      <c r="AB3991" s="2" t="s">
        <v>76</v>
      </c>
      <c r="AC3991" s="2" t="s">
        <v>77</v>
      </c>
      <c r="AF3991" s="2">
        <f t="shared" si="656"/>
        <v>0</v>
      </c>
      <c r="AG3991" s="2">
        <v>110.68</v>
      </c>
      <c r="AH3991" s="2">
        <v>210</v>
      </c>
      <c r="AJ3991" s="2">
        <f t="shared" si="657"/>
        <v>0</v>
      </c>
      <c r="AK3991" s="2">
        <f t="shared" si="660"/>
        <v>31.539999999999992</v>
      </c>
      <c r="AL3991" s="5">
        <f t="shared" si="661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659"/>
        <v>0</v>
      </c>
      <c r="Z3992" s="2" t="s">
        <v>3226</v>
      </c>
      <c r="AA3992" s="2" t="s">
        <v>96</v>
      </c>
      <c r="AB3992" s="2" t="s">
        <v>76</v>
      </c>
      <c r="AC3992" s="2" t="s">
        <v>93</v>
      </c>
      <c r="AF3992" s="2">
        <f t="shared" si="656"/>
        <v>0</v>
      </c>
      <c r="AJ3992" s="2">
        <f t="shared" si="657"/>
        <v>0</v>
      </c>
      <c r="AK3992" s="2">
        <f t="shared" si="660"/>
        <v>0</v>
      </c>
      <c r="AL3992" s="5">
        <f t="shared" si="661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659"/>
        <v>0.42947272727272723</v>
      </c>
      <c r="Z3993" s="2" t="s">
        <v>3226</v>
      </c>
      <c r="AA3993" s="2" t="s">
        <v>75</v>
      </c>
      <c r="AB3993" s="2" t="s">
        <v>76</v>
      </c>
      <c r="AC3993" s="2" t="s">
        <v>77</v>
      </c>
      <c r="AF3993" s="2">
        <f t="shared" si="656"/>
        <v>0</v>
      </c>
      <c r="AG3993" s="2">
        <v>125.51600000000001</v>
      </c>
      <c r="AH3993" s="2">
        <v>220</v>
      </c>
      <c r="AJ3993" s="2">
        <f t="shared" si="657"/>
        <v>0</v>
      </c>
      <c r="AK3993" s="2">
        <f t="shared" si="660"/>
        <v>94.483999999999995</v>
      </c>
      <c r="AL3993" s="5">
        <f t="shared" si="661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659"/>
        <v>0</v>
      </c>
      <c r="Z3994" s="2" t="s">
        <v>3226</v>
      </c>
      <c r="AA3994" s="2" t="s">
        <v>96</v>
      </c>
      <c r="AB3994" s="2" t="s">
        <v>76</v>
      </c>
      <c r="AC3994" s="2" t="s">
        <v>93</v>
      </c>
      <c r="AF3994" s="2">
        <f t="shared" si="656"/>
        <v>0</v>
      </c>
      <c r="AJ3994" s="2">
        <f t="shared" si="657"/>
        <v>0</v>
      </c>
      <c r="AK3994" s="2">
        <f t="shared" si="660"/>
        <v>0</v>
      </c>
      <c r="AL3994" s="5">
        <f t="shared" si="661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659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656"/>
        <v>0</v>
      </c>
      <c r="AJ3995" s="2">
        <f t="shared" si="657"/>
        <v>0</v>
      </c>
      <c r="AK3995" s="2">
        <f t="shared" si="660"/>
        <v>9.715799999999998</v>
      </c>
      <c r="AL3995" s="5">
        <f t="shared" si="661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2992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659"/>
        <v>-0.2</v>
      </c>
      <c r="Z3996" s="2" t="s">
        <v>169</v>
      </c>
      <c r="AA3996" s="2" t="s">
        <v>169</v>
      </c>
      <c r="AF3996" s="2">
        <f t="shared" si="656"/>
        <v>0</v>
      </c>
      <c r="AJ3996" s="2">
        <f t="shared" si="657"/>
        <v>0</v>
      </c>
      <c r="AK3996" s="2">
        <f t="shared" si="660"/>
        <v>-1</v>
      </c>
      <c r="AL3996" s="5">
        <f t="shared" si="661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2993</v>
      </c>
      <c r="G3997" s="2">
        <v>517805383</v>
      </c>
      <c r="H3997" s="2" t="s">
        <v>40</v>
      </c>
      <c r="I3997" s="2" t="s">
        <v>99</v>
      </c>
      <c r="J3997" s="2" t="s">
        <v>2994</v>
      </c>
      <c r="K3997" s="2">
        <v>964651239</v>
      </c>
      <c r="L3997" s="2" t="s">
        <v>99</v>
      </c>
      <c r="M3997" s="2" t="s">
        <v>40</v>
      </c>
      <c r="O3997" s="2" t="s">
        <v>2995</v>
      </c>
      <c r="P3997" s="2" t="s">
        <v>282</v>
      </c>
      <c r="Q3997" s="2" t="s">
        <v>2996</v>
      </c>
      <c r="R3997" s="2" t="s">
        <v>2997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659"/>
        <v>0.31578947368421051</v>
      </c>
      <c r="Z3997" s="2" t="s">
        <v>117</v>
      </c>
      <c r="AA3997" s="2" t="s">
        <v>181</v>
      </c>
      <c r="AB3997" s="2" t="s">
        <v>3380</v>
      </c>
      <c r="AC3997" s="2" t="s">
        <v>1327</v>
      </c>
      <c r="AF3997" s="2">
        <f t="shared" si="656"/>
        <v>0</v>
      </c>
      <c r="AG3997" s="2">
        <v>773.5</v>
      </c>
      <c r="AJ3997" s="2">
        <f t="shared" si="657"/>
        <v>0</v>
      </c>
      <c r="AK3997" s="2">
        <f t="shared" si="660"/>
        <v>357</v>
      </c>
      <c r="AL3997" s="5">
        <f t="shared" si="661"/>
        <v>0.31578947368421051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659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656"/>
        <v>0</v>
      </c>
      <c r="AG3998" s="2">
        <v>343.38</v>
      </c>
      <c r="AJ3998" s="2">
        <f t="shared" si="657"/>
        <v>0</v>
      </c>
      <c r="AK3998" s="2">
        <f t="shared" si="660"/>
        <v>347.23</v>
      </c>
      <c r="AL3998" s="5">
        <f t="shared" si="661"/>
        <v>0.50278739085735802</v>
      </c>
    </row>
    <row r="3999" spans="1:38" x14ac:dyDescent="0.2">
      <c r="A3999" s="2">
        <v>2026</v>
      </c>
      <c r="B3999" s="2">
        <v>5</v>
      </c>
      <c r="D3999" s="2" t="s">
        <v>2998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2999</v>
      </c>
      <c r="J3999" s="2" t="s">
        <v>3000</v>
      </c>
      <c r="K3999" s="2">
        <v>969030161</v>
      </c>
      <c r="L3999" s="2" t="s">
        <v>3001</v>
      </c>
      <c r="M3999" s="2" t="s">
        <v>40</v>
      </c>
      <c r="O3999" s="2" t="s">
        <v>3002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659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656"/>
        <v>0</v>
      </c>
      <c r="AG3999" s="2">
        <f>4893.23+171</f>
        <v>5064.2299999999996</v>
      </c>
      <c r="AJ3999" s="2">
        <f t="shared" si="657"/>
        <v>0</v>
      </c>
      <c r="AK3999" s="2">
        <f t="shared" si="660"/>
        <v>1925.7700000000004</v>
      </c>
      <c r="AL3999" s="5">
        <f t="shared" si="661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3003</v>
      </c>
      <c r="L4000" s="2" t="s">
        <v>177</v>
      </c>
      <c r="M4000" s="2" t="s">
        <v>41</v>
      </c>
      <c r="O4000" s="2" t="s">
        <v>3004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659"/>
        <v>0.34034999999999999</v>
      </c>
      <c r="Z4000" s="2" t="s">
        <v>3226</v>
      </c>
      <c r="AA4000" s="2" t="s">
        <v>75</v>
      </c>
      <c r="AB4000" s="2" t="s">
        <v>76</v>
      </c>
      <c r="AC4000" s="2" t="s">
        <v>77</v>
      </c>
      <c r="AF4000" s="2">
        <f t="shared" si="656"/>
        <v>0</v>
      </c>
      <c r="AG4000" s="2">
        <v>131.93</v>
      </c>
      <c r="AH4000" s="2">
        <v>220</v>
      </c>
      <c r="AJ4000" s="2">
        <f t="shared" si="657"/>
        <v>0</v>
      </c>
      <c r="AK4000" s="2">
        <f t="shared" si="660"/>
        <v>68.069999999999993</v>
      </c>
      <c r="AL4000" s="5">
        <f t="shared" si="661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659"/>
        <v>0</v>
      </c>
      <c r="Z4001" s="2" t="s">
        <v>3226</v>
      </c>
      <c r="AA4001" s="2" t="s">
        <v>96</v>
      </c>
      <c r="AB4001" s="2" t="s">
        <v>76</v>
      </c>
      <c r="AC4001" s="2" t="s">
        <v>93</v>
      </c>
      <c r="AF4001" s="2">
        <f t="shared" si="656"/>
        <v>0</v>
      </c>
      <c r="AJ4001" s="2">
        <f t="shared" si="657"/>
        <v>0</v>
      </c>
      <c r="AK4001" s="2">
        <f t="shared" si="660"/>
        <v>0</v>
      </c>
      <c r="AL4001" s="5">
        <f t="shared" si="661"/>
        <v>0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659"/>
        <v>0.45165454545454548</v>
      </c>
      <c r="Z4002" s="2" t="s">
        <v>3226</v>
      </c>
      <c r="AA4002" s="2" t="s">
        <v>75</v>
      </c>
      <c r="AB4002" s="2" t="s">
        <v>76</v>
      </c>
      <c r="AC4002" s="2" t="s">
        <v>77</v>
      </c>
      <c r="AF4002" s="2">
        <f t="shared" si="656"/>
        <v>0</v>
      </c>
      <c r="AG4002" s="2">
        <v>120.636</v>
      </c>
      <c r="AH4002" s="2">
        <v>220</v>
      </c>
      <c r="AJ4002" s="2">
        <f t="shared" si="657"/>
        <v>0</v>
      </c>
      <c r="AK4002" s="2">
        <f t="shared" si="660"/>
        <v>99.364000000000004</v>
      </c>
      <c r="AL4002" s="5">
        <f t="shared" si="661"/>
        <v>0.45165454545454548</v>
      </c>
    </row>
    <row r="4003" spans="1:38" x14ac:dyDescent="0.2">
      <c r="A4003" s="2">
        <v>2026</v>
      </c>
      <c r="B4003" s="2">
        <v>5</v>
      </c>
      <c r="D4003" s="2" t="s">
        <v>3005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3239</v>
      </c>
      <c r="L4003" s="2" t="s">
        <v>112</v>
      </c>
      <c r="M4003" s="2" t="s">
        <v>109</v>
      </c>
      <c r="O4003" s="2" t="s">
        <v>3240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659"/>
        <v>0</v>
      </c>
      <c r="Z4003" s="2" t="s">
        <v>3226</v>
      </c>
      <c r="AA4003" s="2" t="s">
        <v>96</v>
      </c>
      <c r="AB4003" s="2" t="s">
        <v>76</v>
      </c>
      <c r="AC4003" s="2" t="s">
        <v>93</v>
      </c>
      <c r="AF4003" s="2">
        <f t="shared" si="656"/>
        <v>0</v>
      </c>
      <c r="AJ4003" s="2">
        <f t="shared" si="657"/>
        <v>0</v>
      </c>
      <c r="AK4003" s="2">
        <f t="shared" si="660"/>
        <v>0</v>
      </c>
      <c r="AL4003" s="5">
        <f t="shared" si="661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3006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659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56"/>
        <v>0</v>
      </c>
      <c r="AG4004" s="2">
        <f>78.74+0.63</f>
        <v>79.36999999999999</v>
      </c>
      <c r="AJ4004" s="2">
        <f t="shared" si="657"/>
        <v>0</v>
      </c>
      <c r="AK4004" s="2">
        <f t="shared" si="660"/>
        <v>73.650000000000006</v>
      </c>
      <c r="AL4004" s="5">
        <f t="shared" si="661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659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656"/>
        <v>0</v>
      </c>
      <c r="AG4005" s="2">
        <f>78.74+0.63</f>
        <v>79.36999999999999</v>
      </c>
      <c r="AJ4005" s="2">
        <f t="shared" si="657"/>
        <v>0</v>
      </c>
      <c r="AK4005" s="2">
        <f t="shared" si="660"/>
        <v>9.9999999999994316E-2</v>
      </c>
      <c r="AL4005" s="5">
        <f t="shared" si="661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3007</v>
      </c>
      <c r="R4006" s="2" t="s">
        <v>3008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659"/>
        <v>1</v>
      </c>
      <c r="Z4006" s="2" t="s">
        <v>104</v>
      </c>
      <c r="AA4006" s="2" t="s">
        <v>616</v>
      </c>
      <c r="AB4006" s="2" t="s">
        <v>3436</v>
      </c>
      <c r="AC4006" s="2" t="s">
        <v>114</v>
      </c>
      <c r="AF4006" s="2">
        <f t="shared" si="656"/>
        <v>0</v>
      </c>
      <c r="AJ4006" s="2">
        <f t="shared" si="657"/>
        <v>0</v>
      </c>
      <c r="AK4006" s="2">
        <f t="shared" si="660"/>
        <v>3990</v>
      </c>
      <c r="AL4006" s="5">
        <f t="shared" si="661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3009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659"/>
        <v>0.47838888888888892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56"/>
        <v>0</v>
      </c>
      <c r="AG4007" s="2">
        <v>3.7555999999999998</v>
      </c>
      <c r="AH4007" s="2">
        <v>7.2</v>
      </c>
      <c r="AJ4007" s="2">
        <f t="shared" si="657"/>
        <v>0</v>
      </c>
      <c r="AK4007" s="2">
        <f t="shared" si="660"/>
        <v>51.666000000000004</v>
      </c>
      <c r="AL4007" s="5">
        <f t="shared" si="661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659"/>
        <v>0.62926666666666664</v>
      </c>
      <c r="Z4008" s="2" t="s">
        <v>3226</v>
      </c>
      <c r="AA4008" s="2" t="s">
        <v>46</v>
      </c>
      <c r="AB4008" s="2" t="s">
        <v>60</v>
      </c>
      <c r="AC4008" s="2" t="s">
        <v>57</v>
      </c>
      <c r="AF4008" s="2">
        <f t="shared" si="656"/>
        <v>0</v>
      </c>
      <c r="AG4008" s="2">
        <v>1.1122000000000001</v>
      </c>
      <c r="AH4008" s="2">
        <v>3</v>
      </c>
      <c r="AJ4008" s="2">
        <f t="shared" si="657"/>
        <v>0</v>
      </c>
      <c r="AK4008" s="2">
        <f t="shared" si="660"/>
        <v>37.756</v>
      </c>
      <c r="AL4008" s="5">
        <f t="shared" si="661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659"/>
        <v>0.38692653061224486</v>
      </c>
      <c r="Z4009" s="2" t="s">
        <v>3226</v>
      </c>
      <c r="AA4009" s="2" t="s">
        <v>46</v>
      </c>
      <c r="AB4009" s="2" t="s">
        <v>67</v>
      </c>
      <c r="AC4009" s="2" t="s">
        <v>57</v>
      </c>
      <c r="AF4009" s="2">
        <f t="shared" si="656"/>
        <v>0</v>
      </c>
      <c r="AG4009" s="2">
        <v>15.020300000000001</v>
      </c>
      <c r="AH4009" s="2">
        <v>27.6</v>
      </c>
      <c r="AJ4009" s="2">
        <f t="shared" si="657"/>
        <v>0</v>
      </c>
      <c r="AK4009" s="2">
        <f t="shared" si="660"/>
        <v>18.959399999999999</v>
      </c>
      <c r="AL4009" s="5">
        <f t="shared" si="661"/>
        <v>0.38692653061224486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659"/>
        <v>0.34714285714285725</v>
      </c>
      <c r="Z4010" s="2" t="s">
        <v>3226</v>
      </c>
      <c r="AA4010" s="2" t="s">
        <v>46</v>
      </c>
      <c r="AB4010" s="2" t="s">
        <v>60</v>
      </c>
      <c r="AC4010" s="2" t="s">
        <v>57</v>
      </c>
      <c r="AF4010" s="2">
        <f t="shared" si="656"/>
        <v>0</v>
      </c>
      <c r="AJ4010" s="2">
        <f t="shared" si="657"/>
        <v>0</v>
      </c>
      <c r="AK4010" s="2">
        <f t="shared" si="660"/>
        <v>4.8600000000000012</v>
      </c>
      <c r="AL4010" s="5">
        <f t="shared" si="661"/>
        <v>0.34714285714285725</v>
      </c>
    </row>
    <row r="4011" spans="1:38" x14ac:dyDescent="0.2">
      <c r="A4011" s="2">
        <v>2026</v>
      </c>
      <c r="B4011" s="2">
        <v>5</v>
      </c>
      <c r="D4011" s="2" t="s">
        <v>3010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659"/>
        <v>-0.2</v>
      </c>
      <c r="Z4011" s="2" t="s">
        <v>169</v>
      </c>
      <c r="AA4011" s="2" t="s">
        <v>169</v>
      </c>
      <c r="AF4011" s="2">
        <f t="shared" si="656"/>
        <v>0</v>
      </c>
      <c r="AJ4011" s="2">
        <f t="shared" si="657"/>
        <v>0</v>
      </c>
      <c r="AK4011" s="2">
        <f t="shared" si="660"/>
        <v>-1</v>
      </c>
      <c r="AL4011" s="5">
        <f t="shared" si="661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659"/>
        <v>0.31428571428571428</v>
      </c>
      <c r="Z4012" s="2" t="s">
        <v>3226</v>
      </c>
      <c r="AA4012" s="2" t="s">
        <v>46</v>
      </c>
      <c r="AB4012" s="2" t="s">
        <v>47</v>
      </c>
      <c r="AC4012" s="2" t="s">
        <v>57</v>
      </c>
      <c r="AF4012" s="2">
        <f t="shared" si="656"/>
        <v>0</v>
      </c>
      <c r="AG4012" s="2">
        <v>14.4</v>
      </c>
      <c r="AH4012" s="2">
        <v>21</v>
      </c>
      <c r="AJ4012" s="2">
        <f t="shared" si="657"/>
        <v>0</v>
      </c>
      <c r="AK4012" s="2">
        <f t="shared" si="660"/>
        <v>6.6</v>
      </c>
      <c r="AL4012" s="5">
        <f t="shared" si="661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659"/>
        <v>0.25454545454545452</v>
      </c>
      <c r="Z4013" s="2" t="s">
        <v>3226</v>
      </c>
      <c r="AA4013" s="2" t="s">
        <v>46</v>
      </c>
      <c r="AB4013" s="2" t="s">
        <v>60</v>
      </c>
      <c r="AC4013" s="2" t="s">
        <v>57</v>
      </c>
      <c r="AF4013" s="2">
        <f t="shared" si="656"/>
        <v>0</v>
      </c>
      <c r="AG4013" s="2">
        <v>8.1999999999999993</v>
      </c>
      <c r="AH4013" s="2">
        <v>13</v>
      </c>
      <c r="AJ4013" s="2">
        <f t="shared" si="657"/>
        <v>0</v>
      </c>
      <c r="AK4013" s="2">
        <f t="shared" si="660"/>
        <v>28</v>
      </c>
      <c r="AL4013" s="5">
        <f t="shared" si="661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659"/>
        <v>1</v>
      </c>
      <c r="Z4014" s="2" t="s">
        <v>3226</v>
      </c>
      <c r="AA4014" s="2" t="s">
        <v>87</v>
      </c>
      <c r="AB4014" s="2" t="s">
        <v>60</v>
      </c>
      <c r="AC4014" s="2" t="s">
        <v>84</v>
      </c>
      <c r="AF4014" s="2">
        <f t="shared" si="656"/>
        <v>0</v>
      </c>
      <c r="AJ4014" s="2">
        <f t="shared" si="657"/>
        <v>0</v>
      </c>
      <c r="AK4014" s="2">
        <f t="shared" si="660"/>
        <v>10.15</v>
      </c>
      <c r="AL4014" s="5">
        <f t="shared" si="661"/>
        <v>1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659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656"/>
        <v>0</v>
      </c>
      <c r="AG4015" s="2">
        <f>W4015</f>
        <v>30.400000000000002</v>
      </c>
      <c r="AJ4015" s="2">
        <f t="shared" si="657"/>
        <v>0</v>
      </c>
      <c r="AK4015" s="2">
        <f t="shared" si="660"/>
        <v>45.599999999999994</v>
      </c>
      <c r="AL4015" s="5">
        <f t="shared" si="661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659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656"/>
        <v>0</v>
      </c>
      <c r="AG4016" s="2">
        <f>W4016</f>
        <v>27.5</v>
      </c>
      <c r="AJ4016" s="2">
        <f t="shared" si="657"/>
        <v>0</v>
      </c>
      <c r="AK4016" s="2">
        <f t="shared" ref="AK4016:AK4047" si="662">T4016-W4016</f>
        <v>27.5</v>
      </c>
      <c r="AL4016" s="5">
        <f t="shared" si="661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659"/>
        <v>1</v>
      </c>
      <c r="Z4017" s="2" t="s">
        <v>119</v>
      </c>
      <c r="AA4017" s="2" t="s">
        <v>3379</v>
      </c>
      <c r="AF4017" s="2">
        <f t="shared" si="656"/>
        <v>0</v>
      </c>
      <c r="AJ4017" s="2">
        <f t="shared" si="657"/>
        <v>0</v>
      </c>
      <c r="AK4017" s="2">
        <f t="shared" si="662"/>
        <v>5.99</v>
      </c>
      <c r="AL4017" s="5">
        <f t="shared" si="661"/>
        <v>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659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656"/>
        <v>0</v>
      </c>
      <c r="AG4018" s="2">
        <v>343.38</v>
      </c>
      <c r="AJ4018" s="2">
        <f t="shared" si="657"/>
        <v>0</v>
      </c>
      <c r="AK4018" s="2">
        <f t="shared" si="662"/>
        <v>355.91999999999996</v>
      </c>
      <c r="AL4018" s="5">
        <f t="shared" si="661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659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656"/>
        <v>0</v>
      </c>
      <c r="AG4019" s="2">
        <f>W4019</f>
        <v>90</v>
      </c>
      <c r="AJ4019" s="2">
        <f t="shared" si="657"/>
        <v>0</v>
      </c>
      <c r="AK4019" s="2">
        <f t="shared" si="662"/>
        <v>135</v>
      </c>
      <c r="AL4019" s="5">
        <f t="shared" si="661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3011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656"/>
        <v>0</v>
      </c>
      <c r="AG4020" s="2">
        <f>W4020</f>
        <v>0</v>
      </c>
      <c r="AJ4020" s="2">
        <f t="shared" si="657"/>
        <v>0</v>
      </c>
      <c r="AK4020" s="2">
        <f t="shared" si="662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63">(T4021-W4021)/T4021</f>
        <v>0.46676190476190477</v>
      </c>
      <c r="Z4021" s="2" t="s">
        <v>3226</v>
      </c>
      <c r="AA4021" s="2" t="s">
        <v>75</v>
      </c>
      <c r="AB4021" s="2" t="s">
        <v>76</v>
      </c>
      <c r="AC4021" s="2" t="s">
        <v>77</v>
      </c>
      <c r="AF4021" s="2">
        <f t="shared" si="656"/>
        <v>0</v>
      </c>
      <c r="AG4021" s="2">
        <v>111.98</v>
      </c>
      <c r="AH4021" s="2">
        <v>210</v>
      </c>
      <c r="AJ4021" s="2">
        <f t="shared" si="657"/>
        <v>0</v>
      </c>
      <c r="AK4021" s="2">
        <f t="shared" si="662"/>
        <v>98.02</v>
      </c>
      <c r="AL4021" s="5">
        <f t="shared" ref="AL4021:AL4047" si="664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3012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63"/>
        <v>0</v>
      </c>
      <c r="Z4022" s="2" t="s">
        <v>3226</v>
      </c>
      <c r="AA4022" s="2" t="s">
        <v>96</v>
      </c>
      <c r="AB4022" s="2" t="s">
        <v>76</v>
      </c>
      <c r="AC4022" s="2" t="s">
        <v>93</v>
      </c>
      <c r="AF4022" s="2">
        <f t="shared" si="656"/>
        <v>0</v>
      </c>
      <c r="AG4022" s="2">
        <v>1.48</v>
      </c>
      <c r="AH4022" s="2">
        <v>1.48</v>
      </c>
      <c r="AJ4022" s="2">
        <f t="shared" si="657"/>
        <v>0</v>
      </c>
      <c r="AK4022" s="2">
        <f t="shared" si="662"/>
        <v>0</v>
      </c>
      <c r="AL4022" s="5">
        <f t="shared" si="664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63"/>
        <v>0.71491228070175439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56"/>
        <v>0</v>
      </c>
      <c r="AJ4023" s="2">
        <f t="shared" si="657"/>
        <v>0</v>
      </c>
      <c r="AK4023" s="2">
        <f t="shared" si="662"/>
        <v>48.900000000000006</v>
      </c>
      <c r="AL4023" s="5">
        <f t="shared" si="664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63"/>
        <v>0.58491111111111116</v>
      </c>
      <c r="Z4024" s="2" t="s">
        <v>3226</v>
      </c>
      <c r="AA4024" s="2" t="s">
        <v>46</v>
      </c>
      <c r="AB4024" s="2" t="s">
        <v>47</v>
      </c>
      <c r="AC4024" s="2" t="s">
        <v>57</v>
      </c>
      <c r="AF4024" s="2">
        <f t="shared" si="656"/>
        <v>0</v>
      </c>
      <c r="AG4024" s="2">
        <v>3.7357999999999998</v>
      </c>
      <c r="AH4024" s="2">
        <v>9</v>
      </c>
      <c r="AJ4024" s="2">
        <f t="shared" si="657"/>
        <v>0</v>
      </c>
      <c r="AK4024" s="2">
        <f t="shared" si="662"/>
        <v>10.528400000000001</v>
      </c>
      <c r="AL4024" s="5">
        <f t="shared" si="664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63"/>
        <v>0.26896551724137929</v>
      </c>
      <c r="Z4025" s="2" t="s">
        <v>3226</v>
      </c>
      <c r="AA4025" s="2" t="s">
        <v>46</v>
      </c>
      <c r="AB4025" s="2" t="s">
        <v>56</v>
      </c>
      <c r="AC4025" s="2" t="s">
        <v>57</v>
      </c>
      <c r="AF4025" s="2">
        <f t="shared" si="656"/>
        <v>0</v>
      </c>
      <c r="AG4025" s="2">
        <v>10.6</v>
      </c>
      <c r="AH4025" s="2">
        <v>18</v>
      </c>
      <c r="AJ4025" s="2">
        <f t="shared" si="657"/>
        <v>0</v>
      </c>
      <c r="AK4025" s="2">
        <f t="shared" si="662"/>
        <v>39</v>
      </c>
      <c r="AL4025" s="5">
        <f t="shared" si="664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3013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63"/>
        <v>0.29692307692307696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56"/>
        <v>0</v>
      </c>
      <c r="AG4026" s="2">
        <v>9.14</v>
      </c>
      <c r="AH4026" s="2">
        <v>16</v>
      </c>
      <c r="AJ4026" s="2">
        <f t="shared" si="657"/>
        <v>0</v>
      </c>
      <c r="AK4026" s="2">
        <f t="shared" si="662"/>
        <v>11.580000000000002</v>
      </c>
      <c r="AL4026" s="5">
        <f t="shared" si="664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63"/>
        <v>0.3692307692307692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56"/>
        <v>0</v>
      </c>
      <c r="AG4027" s="2">
        <v>8.1999999999999993</v>
      </c>
      <c r="AH4027" s="2">
        <v>13</v>
      </c>
      <c r="AJ4027" s="2">
        <f t="shared" si="657"/>
        <v>0</v>
      </c>
      <c r="AK4027" s="2">
        <f t="shared" si="662"/>
        <v>14.399999999999999</v>
      </c>
      <c r="AL4027" s="5">
        <f t="shared" si="664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3015</v>
      </c>
      <c r="R4028" s="2" t="s">
        <v>3016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63"/>
        <v>0.62374999999999992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56"/>
        <v>0</v>
      </c>
      <c r="AG4028" s="2">
        <v>0.90300000000000002</v>
      </c>
      <c r="AH4028" s="2">
        <v>2.4</v>
      </c>
      <c r="AJ4028" s="2">
        <f t="shared" si="657"/>
        <v>0</v>
      </c>
      <c r="AK4028" s="2">
        <f t="shared" si="662"/>
        <v>17.963999999999999</v>
      </c>
      <c r="AL4028" s="5">
        <f t="shared" si="664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3014</v>
      </c>
      <c r="P4029" s="2" t="s">
        <v>43</v>
      </c>
      <c r="Q4029" s="2" t="s">
        <v>3017</v>
      </c>
      <c r="R4029" s="2" t="s">
        <v>3018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63"/>
        <v>0.62416666666666665</v>
      </c>
      <c r="Z4029" s="2" t="s">
        <v>3226</v>
      </c>
      <c r="AA4029" s="2" t="s">
        <v>46</v>
      </c>
      <c r="AB4029" s="2" t="s">
        <v>60</v>
      </c>
      <c r="AC4029" s="2" t="s">
        <v>57</v>
      </c>
      <c r="AF4029" s="2">
        <f t="shared" si="656"/>
        <v>0</v>
      </c>
      <c r="AG4029" s="2">
        <v>0.90200000000000002</v>
      </c>
      <c r="AH4029" s="2">
        <v>2.8</v>
      </c>
      <c r="AJ4029" s="2">
        <f t="shared" si="657"/>
        <v>0</v>
      </c>
      <c r="AK4029" s="2">
        <f t="shared" si="662"/>
        <v>17.975999999999999</v>
      </c>
      <c r="AL4029" s="5">
        <f t="shared" si="664"/>
        <v>0.62416666666666665</v>
      </c>
    </row>
    <row r="4030" spans="1:38" x14ac:dyDescent="0.2">
      <c r="A4030" s="2">
        <v>2026</v>
      </c>
      <c r="B4030" s="2">
        <v>5</v>
      </c>
      <c r="C4030" s="2" t="s">
        <v>3449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3019</v>
      </c>
      <c r="P4030" s="2" t="s">
        <v>114</v>
      </c>
      <c r="Q4030" s="2" t="s">
        <v>3020</v>
      </c>
      <c r="R4030" s="2" t="s">
        <v>3021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63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656"/>
        <v>0</v>
      </c>
      <c r="AG4030" s="2">
        <f>104.4+1.77</f>
        <v>106.17</v>
      </c>
      <c r="AJ4030" s="2">
        <f t="shared" si="657"/>
        <v>0</v>
      </c>
      <c r="AK4030" s="2">
        <f t="shared" si="662"/>
        <v>139.08000000000001</v>
      </c>
      <c r="AL4030" s="5">
        <f t="shared" si="664"/>
        <v>0.39576575038415573</v>
      </c>
    </row>
    <row r="4031" spans="1:38" x14ac:dyDescent="0.2">
      <c r="A4031" s="2">
        <v>2026</v>
      </c>
      <c r="B4031" s="2">
        <v>5</v>
      </c>
      <c r="C4031" s="2" t="s">
        <v>3371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3022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63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656"/>
        <v>0</v>
      </c>
      <c r="AG4031" s="2">
        <v>342.22</v>
      </c>
      <c r="AJ4031" s="2">
        <f t="shared" si="657"/>
        <v>0</v>
      </c>
      <c r="AK4031" s="2">
        <f t="shared" si="662"/>
        <v>120.4966</v>
      </c>
      <c r="AL4031" s="5">
        <f t="shared" si="664"/>
        <v>0.25874296757569254</v>
      </c>
    </row>
    <row r="4032" spans="1:38" x14ac:dyDescent="0.2">
      <c r="A4032" s="2">
        <v>2026</v>
      </c>
      <c r="B4032" s="2">
        <v>5</v>
      </c>
      <c r="D4032" s="2" t="s">
        <v>3023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63"/>
        <v>0.42947272727272723</v>
      </c>
      <c r="Z4032" s="2" t="s">
        <v>3226</v>
      </c>
      <c r="AA4032" s="2" t="s">
        <v>75</v>
      </c>
      <c r="AB4032" s="2" t="s">
        <v>76</v>
      </c>
      <c r="AC4032" s="2" t="s">
        <v>77</v>
      </c>
      <c r="AF4032" s="2">
        <f t="shared" si="656"/>
        <v>0</v>
      </c>
      <c r="AG4032" s="2">
        <v>125.51600000000001</v>
      </c>
      <c r="AH4032" s="2">
        <v>220</v>
      </c>
      <c r="AJ4032" s="2">
        <f t="shared" si="657"/>
        <v>0</v>
      </c>
      <c r="AK4032" s="2">
        <f t="shared" si="662"/>
        <v>94.483999999999995</v>
      </c>
      <c r="AL4032" s="5">
        <f t="shared" si="664"/>
        <v>0.42947272727272723</v>
      </c>
    </row>
    <row r="4033" spans="1:38" x14ac:dyDescent="0.2">
      <c r="A4033" s="2">
        <v>2026</v>
      </c>
      <c r="B4033" s="2">
        <v>5</v>
      </c>
      <c r="D4033" s="2" t="s">
        <v>3023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63"/>
        <v>0</v>
      </c>
      <c r="Z4033" s="2" t="s">
        <v>3226</v>
      </c>
      <c r="AA4033" s="2" t="s">
        <v>96</v>
      </c>
      <c r="AB4033" s="2" t="s">
        <v>76</v>
      </c>
      <c r="AC4033" s="2" t="s">
        <v>93</v>
      </c>
      <c r="AF4033" s="2">
        <f t="shared" si="656"/>
        <v>0</v>
      </c>
      <c r="AJ4033" s="2">
        <f t="shared" si="657"/>
        <v>0</v>
      </c>
      <c r="AK4033" s="2">
        <f t="shared" si="662"/>
        <v>0</v>
      </c>
      <c r="AL4033" s="5">
        <f t="shared" si="664"/>
        <v>0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O4034" s="2" t="s">
        <v>3025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63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65">AJ4034</f>
        <v>0</v>
      </c>
      <c r="AJ4034" s="2">
        <f t="shared" ref="AJ4034:AJ4047" si="666">AI4034*T4034</f>
        <v>0</v>
      </c>
      <c r="AK4034" s="2">
        <f t="shared" si="662"/>
        <v>352.72999999999996</v>
      </c>
      <c r="AL4034" s="5">
        <f t="shared" si="664"/>
        <v>0.50440440440440437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63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65"/>
        <v>0</v>
      </c>
      <c r="AG4035" s="2">
        <f>W4035</f>
        <v>70</v>
      </c>
      <c r="AJ4035" s="2">
        <f t="shared" si="666"/>
        <v>0</v>
      </c>
      <c r="AK4035" s="2">
        <f t="shared" si="662"/>
        <v>105</v>
      </c>
      <c r="AL4035" s="5">
        <f t="shared" si="664"/>
        <v>0.6</v>
      </c>
    </row>
    <row r="4036" spans="1:38" x14ac:dyDescent="0.2">
      <c r="A4036" s="2">
        <v>2026</v>
      </c>
      <c r="B4036" s="2">
        <v>5</v>
      </c>
      <c r="D4036" s="2" t="s">
        <v>3024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63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65"/>
        <v>0</v>
      </c>
      <c r="AG4036" s="2">
        <f>W4036</f>
        <v>110</v>
      </c>
      <c r="AJ4036" s="2">
        <f t="shared" si="666"/>
        <v>0</v>
      </c>
      <c r="AK4036" s="2">
        <f t="shared" si="662"/>
        <v>110</v>
      </c>
      <c r="AL4036" s="5">
        <f t="shared" si="664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3026</v>
      </c>
      <c r="P4037" s="2" t="s">
        <v>72</v>
      </c>
      <c r="Q4037" s="2" t="s">
        <v>3027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63"/>
        <v>0.39445595854922277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65"/>
        <v>0</v>
      </c>
      <c r="AG4037" s="2">
        <v>125.51600000000001</v>
      </c>
      <c r="AH4037" s="2">
        <v>220</v>
      </c>
      <c r="AJ4037" s="2">
        <f t="shared" si="666"/>
        <v>0</v>
      </c>
      <c r="AK4037" s="2">
        <f t="shared" si="662"/>
        <v>76.13</v>
      </c>
      <c r="AL4037" s="5">
        <f t="shared" si="664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63"/>
        <v>0.49690909090909086</v>
      </c>
      <c r="Z4038" s="2" t="s">
        <v>3226</v>
      </c>
      <c r="AA4038" s="2" t="s">
        <v>75</v>
      </c>
      <c r="AB4038" s="2" t="s">
        <v>76</v>
      </c>
      <c r="AC4038" s="2" t="s">
        <v>77</v>
      </c>
      <c r="AF4038" s="2">
        <f t="shared" si="665"/>
        <v>0</v>
      </c>
      <c r="AG4038" s="2">
        <v>110.68</v>
      </c>
      <c r="AH4038" s="2">
        <v>210</v>
      </c>
      <c r="AJ4038" s="2">
        <f t="shared" si="666"/>
        <v>0</v>
      </c>
      <c r="AK4038" s="2">
        <f t="shared" si="662"/>
        <v>109.32</v>
      </c>
      <c r="AL4038" s="5">
        <f t="shared" si="664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3028</v>
      </c>
      <c r="R4039" s="2" t="s">
        <v>3029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63"/>
        <v>0.45881818181818179</v>
      </c>
      <c r="Z4039" s="2" t="s">
        <v>3226</v>
      </c>
      <c r="AA4039" s="2" t="s">
        <v>75</v>
      </c>
      <c r="AB4039" s="2" t="s">
        <v>76</v>
      </c>
      <c r="AC4039" s="2" t="s">
        <v>1038</v>
      </c>
      <c r="AF4039" s="2">
        <f t="shared" si="665"/>
        <v>0</v>
      </c>
      <c r="AJ4039" s="2">
        <f t="shared" si="666"/>
        <v>0</v>
      </c>
      <c r="AK4039" s="2">
        <f t="shared" si="662"/>
        <v>100.94</v>
      </c>
      <c r="AL4039" s="5">
        <f t="shared" si="664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63"/>
        <v>2.000401846171453E-16</v>
      </c>
      <c r="Z4040" s="2" t="s">
        <v>3226</v>
      </c>
      <c r="AA4040" s="2" t="s">
        <v>96</v>
      </c>
      <c r="AB4040" s="2" t="s">
        <v>76</v>
      </c>
      <c r="AC4040" s="2" t="s">
        <v>93</v>
      </c>
      <c r="AF4040" s="2">
        <f t="shared" si="665"/>
        <v>0</v>
      </c>
      <c r="AJ4040" s="2">
        <f t="shared" si="666"/>
        <v>0</v>
      </c>
      <c r="AK4040" s="2">
        <f t="shared" si="662"/>
        <v>0</v>
      </c>
      <c r="AL4040" s="5">
        <f t="shared" si="664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282</v>
      </c>
      <c r="Q4041" s="2" t="s">
        <v>3031</v>
      </c>
      <c r="R4041" s="2" t="s">
        <v>3032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63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65"/>
        <v>0</v>
      </c>
      <c r="AG4041" s="2">
        <v>285</v>
      </c>
      <c r="AJ4041" s="2">
        <f t="shared" si="666"/>
        <v>0</v>
      </c>
      <c r="AK4041" s="2">
        <f t="shared" si="662"/>
        <v>-45</v>
      </c>
      <c r="AL4041" s="5">
        <f t="shared" si="664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3030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63"/>
        <v>0.37647058823529411</v>
      </c>
      <c r="Z4042" s="2" t="s">
        <v>3226</v>
      </c>
      <c r="AA4042" s="2" t="s">
        <v>46</v>
      </c>
      <c r="AB4042" s="2" t="s">
        <v>56</v>
      </c>
      <c r="AC4042" s="2" t="s">
        <v>57</v>
      </c>
      <c r="AF4042" s="2">
        <f t="shared" si="665"/>
        <v>0</v>
      </c>
      <c r="AG4042" s="2">
        <v>10.6</v>
      </c>
      <c r="AH4042" s="2">
        <v>18</v>
      </c>
      <c r="AJ4042" s="2">
        <f t="shared" si="666"/>
        <v>0</v>
      </c>
      <c r="AK4042" s="2">
        <f t="shared" si="662"/>
        <v>25.6</v>
      </c>
      <c r="AL4042" s="5">
        <f t="shared" si="664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3033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67">T4043*23%</f>
        <v>1262.7</v>
      </c>
      <c r="V4043" s="2">
        <f t="shared" ref="V4043:V4065" si="668">T4043+U4043</f>
        <v>6752.7</v>
      </c>
      <c r="W4043" s="2">
        <v>5064.2299999999996</v>
      </c>
      <c r="X4043" s="5">
        <f t="shared" si="663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66"/>
        <v>0</v>
      </c>
      <c r="AK4043" s="2">
        <f t="shared" si="662"/>
        <v>425.77000000000044</v>
      </c>
      <c r="AL4043" s="5">
        <f t="shared" si="664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67"/>
        <v>16.79</v>
      </c>
      <c r="V4044" s="2">
        <f t="shared" si="668"/>
        <v>89.789999999999992</v>
      </c>
      <c r="W4044" s="2">
        <f>T4044*40%</f>
        <v>29.200000000000003</v>
      </c>
      <c r="X4044" s="5">
        <f t="shared" si="663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66"/>
        <v>0</v>
      </c>
      <c r="AK4044" s="2">
        <f t="shared" si="662"/>
        <v>43.8</v>
      </c>
      <c r="AL4044" s="5">
        <f t="shared" si="664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3034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67"/>
        <v>12.65</v>
      </c>
      <c r="V4045" s="2">
        <f t="shared" si="668"/>
        <v>67.650000000000006</v>
      </c>
      <c r="W4045" s="2">
        <f>T4045*50%</f>
        <v>27.5</v>
      </c>
      <c r="X4045" s="5">
        <f t="shared" si="663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66"/>
        <v>0</v>
      </c>
      <c r="AK4045" s="2">
        <f t="shared" si="662"/>
        <v>27.5</v>
      </c>
      <c r="AL4045" s="5">
        <f t="shared" si="664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67"/>
        <v>59.800000000000004</v>
      </c>
      <c r="V4046" s="10">
        <f t="shared" si="668"/>
        <v>319.8</v>
      </c>
      <c r="W4046" s="2">
        <v>152.85</v>
      </c>
      <c r="X4046" s="5">
        <f t="shared" si="663"/>
        <v>0.41211538461538466</v>
      </c>
      <c r="Z4046" s="2" t="s">
        <v>3226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66"/>
        <v>0</v>
      </c>
      <c r="AK4046" s="2">
        <f t="shared" si="662"/>
        <v>107.15</v>
      </c>
      <c r="AL4046" s="5">
        <f t="shared" si="664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67"/>
        <v>0.34040000000000004</v>
      </c>
      <c r="V4047" s="10">
        <f t="shared" si="668"/>
        <v>1.8204</v>
      </c>
      <c r="W4047" s="2">
        <f>1.48*S4047</f>
        <v>1.48</v>
      </c>
      <c r="X4047" s="5">
        <f t="shared" si="663"/>
        <v>0</v>
      </c>
      <c r="Z4047" s="2" t="s">
        <v>3226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66"/>
        <v>0</v>
      </c>
      <c r="AK4047" s="2">
        <f t="shared" si="662"/>
        <v>0</v>
      </c>
      <c r="AL4047" s="5">
        <f t="shared" si="664"/>
        <v>0</v>
      </c>
    </row>
    <row r="4048" spans="1:38" x14ac:dyDescent="0.2">
      <c r="A4048" s="8">
        <v>2026</v>
      </c>
      <c r="B4048" s="8">
        <v>6</v>
      </c>
      <c r="C4048" s="8" t="s">
        <v>3322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67"/>
        <v>17.820400000000003</v>
      </c>
      <c r="V4048" s="10">
        <f t="shared" si="668"/>
        <v>95.30040000000001</v>
      </c>
      <c r="X4048" s="5">
        <f t="shared" si="663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3322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67"/>
        <v>107.3134</v>
      </c>
      <c r="V4049" s="10">
        <f t="shared" si="668"/>
        <v>573.89339999999993</v>
      </c>
      <c r="W4049" s="2">
        <v>222.18</v>
      </c>
      <c r="X4049" s="5">
        <f t="shared" si="663"/>
        <v>0.52381156500492942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K4049" s="2">
        <f t="shared" ref="AK4049" si="669">T4049-W4049</f>
        <v>244.39999999999998</v>
      </c>
      <c r="AL4049" s="5">
        <f t="shared" ref="AL4049" si="670">(T4049-W4049)/T4049</f>
        <v>0.52381156500492942</v>
      </c>
    </row>
    <row r="4050" spans="1:38" x14ac:dyDescent="0.2">
      <c r="A4050" s="8">
        <v>2026</v>
      </c>
      <c r="B4050" s="8">
        <v>6</v>
      </c>
      <c r="C4050" s="8" t="s">
        <v>3322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67"/>
        <v>28.75</v>
      </c>
      <c r="V4050" s="2">
        <f t="shared" si="668"/>
        <v>153.75</v>
      </c>
      <c r="W4050" s="2">
        <f>T4050*40%</f>
        <v>50</v>
      </c>
      <c r="X4050" s="5">
        <f t="shared" si="663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3322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67"/>
        <v>25.3</v>
      </c>
      <c r="V4051" s="2">
        <f t="shared" si="668"/>
        <v>135.30000000000001</v>
      </c>
      <c r="W4051" s="2">
        <f>T4051*50%</f>
        <v>55</v>
      </c>
      <c r="X4051" s="5">
        <f t="shared" si="663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67"/>
        <v>4.1400000000000006</v>
      </c>
      <c r="V4052" s="10">
        <f t="shared" si="668"/>
        <v>22.14</v>
      </c>
      <c r="W4052" s="2">
        <v>10.6</v>
      </c>
      <c r="X4052" s="5">
        <f t="shared" si="663"/>
        <v>0.41111111111111115</v>
      </c>
      <c r="Z4052" s="2" t="s">
        <v>3226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67"/>
        <v>2.99</v>
      </c>
      <c r="V4053" s="10">
        <f t="shared" si="668"/>
        <v>15.99</v>
      </c>
      <c r="W4053" s="2">
        <f>0.082*S4053</f>
        <v>8.2000000000000011</v>
      </c>
      <c r="X4053" s="5">
        <f t="shared" ref="X4053:X4075" si="671">(T4053-W4053)/T4053</f>
        <v>0.36923076923076914</v>
      </c>
      <c r="Z4053" s="2" t="s">
        <v>3226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67"/>
        <v>4.6000000000000005</v>
      </c>
      <c r="V4054" s="10">
        <f t="shared" si="668"/>
        <v>24.6</v>
      </c>
      <c r="W4054" s="2">
        <f>15.0203*S4054</f>
        <v>15.020300000000001</v>
      </c>
      <c r="X4054" s="5">
        <f t="shared" si="671"/>
        <v>0.24898499999999996</v>
      </c>
      <c r="Z4054" s="2" t="s">
        <v>3226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72">T4054-W4054</f>
        <v>4.9796999999999993</v>
      </c>
      <c r="AL4054" s="5">
        <f t="shared" ref="AL4054" si="673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3100</v>
      </c>
      <c r="P4055" s="2" t="s">
        <v>1038</v>
      </c>
      <c r="Q4055" s="2" t="s">
        <v>3035</v>
      </c>
      <c r="R4055" s="2" t="s">
        <v>3036</v>
      </c>
      <c r="S4055" s="9">
        <v>1</v>
      </c>
      <c r="T4055" s="10">
        <v>280</v>
      </c>
      <c r="U4055" s="2">
        <f t="shared" si="667"/>
        <v>64.400000000000006</v>
      </c>
      <c r="V4055" s="2">
        <f t="shared" si="668"/>
        <v>344.4</v>
      </c>
      <c r="W4055" s="2">
        <v>153.4</v>
      </c>
      <c r="X4055" s="5">
        <f t="shared" si="671"/>
        <v>0.45214285714285712</v>
      </c>
      <c r="Z4055" s="2" t="s">
        <v>3226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3100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67"/>
        <v>0.34040000000000004</v>
      </c>
      <c r="V4056" s="10">
        <f t="shared" si="668"/>
        <v>1.8204</v>
      </c>
      <c r="W4056" s="2">
        <f>1.48*S4056</f>
        <v>1.48</v>
      </c>
      <c r="X4056" s="5">
        <f t="shared" si="671"/>
        <v>0</v>
      </c>
      <c r="Z4056" s="2" t="s">
        <v>3226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 t="s">
        <v>3293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67"/>
        <v>4.83</v>
      </c>
      <c r="V4057" s="10">
        <f t="shared" si="668"/>
        <v>25.83</v>
      </c>
      <c r="W4057" s="2">
        <f>11.045*S4057</f>
        <v>11.045</v>
      </c>
      <c r="X4057" s="5">
        <f t="shared" si="671"/>
        <v>0.47404761904761905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74">T4057-W4057</f>
        <v>9.9550000000000001</v>
      </c>
      <c r="AL4057" s="5">
        <f t="shared" ref="AL4057" si="675">(T4057-W4057)/T4057</f>
        <v>0.47404761904761905</v>
      </c>
    </row>
    <row r="4058" spans="1:38" x14ac:dyDescent="0.2">
      <c r="A4058" s="8">
        <v>2026</v>
      </c>
      <c r="B4058" s="8">
        <v>6</v>
      </c>
      <c r="C4058" s="8" t="s">
        <v>3293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67"/>
        <v>6.9</v>
      </c>
      <c r="V4058" s="10">
        <f t="shared" si="668"/>
        <v>36.9</v>
      </c>
      <c r="W4058" s="2">
        <f>16.2249*S4058</f>
        <v>16.224900000000002</v>
      </c>
      <c r="X4058" s="5">
        <f t="shared" si="671"/>
        <v>0.45916999999999997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 t="s">
        <v>3293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67"/>
        <v>4.5540000000000003</v>
      </c>
      <c r="V4059" s="10">
        <f t="shared" si="668"/>
        <v>24.353999999999999</v>
      </c>
      <c r="W4059" s="2">
        <f>10.5267*S4059</f>
        <v>10.5267</v>
      </c>
      <c r="X4059" s="5">
        <f t="shared" si="671"/>
        <v>0.46834848484848485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76">T4059-W4059</f>
        <v>9.2733000000000008</v>
      </c>
      <c r="AL4059" s="5">
        <f t="shared" ref="AL4059" si="677">(T4059-W4059)/T4059</f>
        <v>0.46834848484848485</v>
      </c>
    </row>
    <row r="4060" spans="1:38" x14ac:dyDescent="0.2">
      <c r="A4060" s="8">
        <v>2026</v>
      </c>
      <c r="B4060" s="8">
        <v>6</v>
      </c>
      <c r="C4060" s="8" t="s">
        <v>3293</v>
      </c>
      <c r="D4060" s="2" t="s">
        <v>278</v>
      </c>
      <c r="E4060" s="2" t="s">
        <v>38</v>
      </c>
      <c r="G4060" s="2">
        <v>203419111</v>
      </c>
      <c r="I4060" s="2" t="s">
        <v>279</v>
      </c>
      <c r="J4060" s="2" t="s">
        <v>280</v>
      </c>
      <c r="L4060" s="2" t="s">
        <v>201</v>
      </c>
      <c r="M4060" s="2" t="s">
        <v>80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67"/>
        <v>8.2800000000000011</v>
      </c>
      <c r="V4060" s="10">
        <f t="shared" si="668"/>
        <v>44.28</v>
      </c>
      <c r="W4060" s="2">
        <f>10.6*S4060</f>
        <v>21.2</v>
      </c>
      <c r="X4060" s="5">
        <f t="shared" si="671"/>
        <v>0.41111111111111115</v>
      </c>
      <c r="Z4060" s="2" t="s">
        <v>3226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67"/>
        <v>50.6</v>
      </c>
      <c r="V4061" s="10">
        <f t="shared" si="668"/>
        <v>270.60000000000002</v>
      </c>
      <c r="W4061" s="2">
        <v>131.93</v>
      </c>
      <c r="X4061" s="5">
        <f t="shared" si="671"/>
        <v>0.4003181818181818</v>
      </c>
      <c r="Z4061" s="2" t="s">
        <v>3226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67"/>
        <v>0.34040000000000004</v>
      </c>
      <c r="V4062" s="10">
        <f t="shared" si="668"/>
        <v>1.8204</v>
      </c>
      <c r="W4062" s="2">
        <f>1.48*S4062</f>
        <v>1.48</v>
      </c>
      <c r="X4062" s="5">
        <f t="shared" si="671"/>
        <v>0</v>
      </c>
      <c r="Z4062" s="2" t="s">
        <v>3226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67"/>
        <v>13.8</v>
      </c>
      <c r="V4063" s="2">
        <f t="shared" si="668"/>
        <v>73.8</v>
      </c>
      <c r="W4063" s="2">
        <f>T4063*40%</f>
        <v>24</v>
      </c>
      <c r="X4063" s="5">
        <f t="shared" si="671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67"/>
        <v>12.65</v>
      </c>
      <c r="V4064" s="2">
        <f t="shared" si="668"/>
        <v>67.650000000000006</v>
      </c>
      <c r="W4064" s="2">
        <f>T4064*50%</f>
        <v>27.5</v>
      </c>
      <c r="X4064" s="5">
        <f t="shared" si="671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67"/>
        <v>160.839</v>
      </c>
      <c r="V4065" s="10">
        <f t="shared" si="668"/>
        <v>860.1389999999999</v>
      </c>
      <c r="W4065" s="2">
        <v>345.20339999999999</v>
      </c>
      <c r="X4065" s="5">
        <f t="shared" si="671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71"/>
        <v>0.25</v>
      </c>
      <c r="Z4066" s="2" t="s">
        <v>3226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78">T4067*23%</f>
        <v>26.68</v>
      </c>
      <c r="V4067" s="10">
        <f t="shared" ref="V4067:V4075" si="679">T4067+U4067</f>
        <v>142.68</v>
      </c>
      <c r="W4067" s="2">
        <f>18.9342*S4067</f>
        <v>75.736800000000002</v>
      </c>
      <c r="X4067" s="5">
        <f t="shared" si="671"/>
        <v>0.34709655172413789</v>
      </c>
      <c r="Z4067" s="2" t="s">
        <v>3226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80">T4067-W4067</f>
        <v>40.263199999999998</v>
      </c>
      <c r="AL4067" s="5">
        <f t="shared" ref="AL4067" si="681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3261</v>
      </c>
      <c r="E4068" s="2" t="s">
        <v>38</v>
      </c>
      <c r="F4068" s="2" t="s">
        <v>3419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3260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78"/>
        <v>4577</v>
      </c>
      <c r="V4068" s="2">
        <f t="shared" si="679"/>
        <v>24477</v>
      </c>
      <c r="W4068" s="2">
        <f>10699.41+285.74</f>
        <v>10985.15</v>
      </c>
      <c r="X4068" s="5">
        <f t="shared" si="671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78"/>
        <v>2053.9</v>
      </c>
      <c r="V4069" s="10">
        <f t="shared" si="679"/>
        <v>10983.9</v>
      </c>
      <c r="W4069" s="2">
        <f>6348.73+221.85</f>
        <v>6570.58</v>
      </c>
      <c r="X4069" s="5">
        <f t="shared" si="671"/>
        <v>0.2642127659574468</v>
      </c>
      <c r="Z4069" s="2" t="s">
        <v>104</v>
      </c>
      <c r="AA4069" s="2" t="s">
        <v>616</v>
      </c>
      <c r="AB4069" s="2" t="s">
        <v>3263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3257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3262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78"/>
        <v>1607.7</v>
      </c>
      <c r="V4070" s="10">
        <f t="shared" si="679"/>
        <v>8597.7000000000007</v>
      </c>
      <c r="W4070" s="2">
        <f>4893.23+171</f>
        <v>5064.2299999999996</v>
      </c>
      <c r="X4070" s="5">
        <f t="shared" si="671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82">T4070-W4070</f>
        <v>1925.7700000000004</v>
      </c>
      <c r="AL4070" s="5">
        <f t="shared" ref="AL4070:AL4075" si="683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78"/>
        <v>72.22</v>
      </c>
      <c r="V4071" s="2">
        <f t="shared" si="679"/>
        <v>386.22</v>
      </c>
      <c r="W4071" s="2">
        <f>T4071*40%</f>
        <v>125.60000000000001</v>
      </c>
      <c r="X4071" s="5">
        <f t="shared" si="671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82"/>
        <v>188.39999999999998</v>
      </c>
      <c r="AL4071" s="5">
        <f t="shared" si="683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78"/>
        <v>50.6</v>
      </c>
      <c r="V4072" s="2">
        <f t="shared" si="679"/>
        <v>270.60000000000002</v>
      </c>
      <c r="W4072" s="2">
        <f>T4072*50%</f>
        <v>110</v>
      </c>
      <c r="X4072" s="5">
        <f t="shared" si="671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82"/>
        <v>110</v>
      </c>
      <c r="AL4072" s="5">
        <f t="shared" si="683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3104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78"/>
        <v>23</v>
      </c>
      <c r="V4073" s="10">
        <f t="shared" si="679"/>
        <v>123</v>
      </c>
      <c r="X4073" s="5">
        <f t="shared" si="671"/>
        <v>1</v>
      </c>
      <c r="Z4073" s="2" t="s">
        <v>119</v>
      </c>
      <c r="AA4073" s="2" t="s">
        <v>3379</v>
      </c>
      <c r="AI4073" s="2"/>
      <c r="AK4073" s="2">
        <f t="shared" si="682"/>
        <v>100</v>
      </c>
      <c r="AL4073" s="5">
        <f t="shared" si="683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3037</v>
      </c>
      <c r="R4074" s="2" t="s">
        <v>3038</v>
      </c>
      <c r="S4074" s="9">
        <v>4</v>
      </c>
      <c r="T4074" s="10">
        <v>560.97</v>
      </c>
      <c r="U4074" s="2">
        <f t="shared" si="678"/>
        <v>129.0231</v>
      </c>
      <c r="V4074" s="2">
        <f t="shared" si="679"/>
        <v>689.99310000000003</v>
      </c>
      <c r="W4074" s="2">
        <f>80.93*4</f>
        <v>323.72000000000003</v>
      </c>
      <c r="X4074" s="5">
        <f t="shared" si="671"/>
        <v>0.4229281423249015</v>
      </c>
      <c r="Z4074" s="2" t="s">
        <v>3226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82"/>
        <v>237.25</v>
      </c>
      <c r="AL4074" s="5">
        <f t="shared" si="683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78"/>
        <v>8.2800000000000011</v>
      </c>
      <c r="V4075" s="10">
        <f t="shared" si="679"/>
        <v>44.28</v>
      </c>
      <c r="W4075" s="2">
        <f>0.8561*S4075</f>
        <v>17.122</v>
      </c>
      <c r="X4075" s="5">
        <f t="shared" si="671"/>
        <v>0.5243888888888889</v>
      </c>
      <c r="Z4075" s="2" t="s">
        <v>3226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82"/>
        <v>18.878</v>
      </c>
      <c r="AL4075" s="5">
        <f t="shared" si="683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3098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3098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84">T4077*23%</f>
        <v>161</v>
      </c>
      <c r="V4077" s="10">
        <f t="shared" ref="V4077:V4108" si="685">T4077+U4077</f>
        <v>861</v>
      </c>
      <c r="X4077" s="5">
        <f t="shared" ref="X4077:X4092" si="686">(T4077-W4077)/T4077</f>
        <v>1</v>
      </c>
      <c r="AI4077" s="2"/>
      <c r="AK4077" s="2">
        <f t="shared" ref="AK4077:AK4092" si="687">T4077-W4077</f>
        <v>700</v>
      </c>
      <c r="AL4077" s="5">
        <f t="shared" ref="AL4077:AL4092" si="688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3098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84"/>
        <v>2645</v>
      </c>
      <c r="V4078" s="10">
        <f t="shared" si="685"/>
        <v>14145</v>
      </c>
      <c r="W4078" s="2">
        <v>7437.5950000000003</v>
      </c>
      <c r="X4078" s="5">
        <f t="shared" si="686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87"/>
        <v>4062.4049999999997</v>
      </c>
      <c r="AL4078" s="5">
        <f t="shared" si="688"/>
        <v>0.35325260869565217</v>
      </c>
    </row>
    <row r="4079" spans="1:38" x14ac:dyDescent="0.2">
      <c r="A4079" s="8">
        <v>2026</v>
      </c>
      <c r="B4079" s="8">
        <v>6</v>
      </c>
      <c r="C4079" s="8" t="s">
        <v>3377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84"/>
        <v>2.4840000000000004</v>
      </c>
      <c r="V4079" s="10">
        <f t="shared" si="685"/>
        <v>13.284000000000001</v>
      </c>
      <c r="W4079" s="2">
        <v>5.23</v>
      </c>
      <c r="X4079" s="5">
        <f t="shared" si="686"/>
        <v>0.51574074074074072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87"/>
        <v>5.57</v>
      </c>
      <c r="AL4079" s="5">
        <f t="shared" si="688"/>
        <v>0.51574074074074072</v>
      </c>
    </row>
    <row r="4080" spans="1:38" x14ac:dyDescent="0.2">
      <c r="A4080" s="8">
        <v>2026</v>
      </c>
      <c r="B4080" s="8">
        <v>6</v>
      </c>
      <c r="C4080" s="8" t="s">
        <v>3377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84"/>
        <v>0.82800000000000007</v>
      </c>
      <c r="V4080" s="10">
        <f t="shared" si="685"/>
        <v>4.4279999999999999</v>
      </c>
      <c r="W4080" s="2">
        <f>0.97*S4080</f>
        <v>0.97</v>
      </c>
      <c r="X4080" s="5">
        <f t="shared" si="686"/>
        <v>0.73055555555555551</v>
      </c>
      <c r="Z4080" s="2" t="s">
        <v>3226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87"/>
        <v>2.63</v>
      </c>
      <c r="AL4080" s="5">
        <f t="shared" si="688"/>
        <v>0.73055555555555551</v>
      </c>
    </row>
    <row r="4081" spans="1:38" x14ac:dyDescent="0.2">
      <c r="A4081" s="8">
        <v>2026</v>
      </c>
      <c r="B4081" s="8">
        <v>6</v>
      </c>
      <c r="C4081" s="8" t="s">
        <v>3377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84"/>
        <v>4.83</v>
      </c>
      <c r="V4081" s="10">
        <f t="shared" si="685"/>
        <v>25.83</v>
      </c>
      <c r="W4081" s="2">
        <f>10.67*S4081</f>
        <v>10.67</v>
      </c>
      <c r="X4081" s="5">
        <f t="shared" si="686"/>
        <v>0.4919047619047619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87"/>
        <v>10.33</v>
      </c>
      <c r="AL4081" s="5">
        <f t="shared" si="688"/>
        <v>0.4919047619047619</v>
      </c>
    </row>
    <row r="4082" spans="1:38" x14ac:dyDescent="0.2">
      <c r="A4082" s="8">
        <v>2026</v>
      </c>
      <c r="B4082" s="8">
        <v>6</v>
      </c>
      <c r="C4082" s="8" t="s">
        <v>3377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84"/>
        <v>4.83</v>
      </c>
      <c r="V4082" s="10">
        <f t="shared" si="685"/>
        <v>25.83</v>
      </c>
      <c r="W4082" s="2">
        <f>9.3*S4082</f>
        <v>9.3000000000000007</v>
      </c>
      <c r="X4082" s="5">
        <f t="shared" si="686"/>
        <v>0.55714285714285716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87"/>
        <v>11.7</v>
      </c>
      <c r="AL4082" s="5">
        <f t="shared" si="688"/>
        <v>0.55714285714285716</v>
      </c>
    </row>
    <row r="4083" spans="1:38" x14ac:dyDescent="0.2">
      <c r="A4083" s="8">
        <v>2026</v>
      </c>
      <c r="B4083" s="8">
        <v>6</v>
      </c>
      <c r="C4083" s="8" t="s">
        <v>3377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84"/>
        <v>2.0700000000000003</v>
      </c>
      <c r="V4083" s="10">
        <f t="shared" si="685"/>
        <v>11.07</v>
      </c>
      <c r="W4083" s="2">
        <f>3.7358*S4083</f>
        <v>3.7357999999999998</v>
      </c>
      <c r="X4083" s="5">
        <f t="shared" si="686"/>
        <v>0.58491111111111116</v>
      </c>
      <c r="Z4083" s="2" t="s">
        <v>3226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87"/>
        <v>5.2642000000000007</v>
      </c>
      <c r="AL4083" s="5">
        <f t="shared" si="688"/>
        <v>0.58491111111111116</v>
      </c>
    </row>
    <row r="4084" spans="1:38" x14ac:dyDescent="0.2">
      <c r="A4084" s="8">
        <v>2026</v>
      </c>
      <c r="B4084" s="8">
        <v>6</v>
      </c>
      <c r="C4084" s="8" t="s">
        <v>3377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84"/>
        <v>3.3120000000000003</v>
      </c>
      <c r="V4084" s="10">
        <f t="shared" si="685"/>
        <v>17.712</v>
      </c>
      <c r="W4084" s="2">
        <v>7.2217000000000002</v>
      </c>
      <c r="X4084" s="5">
        <f t="shared" si="686"/>
        <v>0.49849305555555556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87"/>
        <v>7.1783000000000001</v>
      </c>
      <c r="AL4084" s="5">
        <f t="shared" si="688"/>
        <v>0.49849305555555556</v>
      </c>
    </row>
    <row r="4085" spans="1:38" x14ac:dyDescent="0.2">
      <c r="A4085" s="8">
        <v>2026</v>
      </c>
      <c r="B4085" s="8">
        <v>6</v>
      </c>
      <c r="C4085" s="8" t="s">
        <v>3377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84"/>
        <v>4.0019999999999998</v>
      </c>
      <c r="V4085" s="10">
        <f t="shared" si="685"/>
        <v>21.401999999999997</v>
      </c>
      <c r="W4085" s="2">
        <f>9.075*S4085</f>
        <v>9.0749999999999993</v>
      </c>
      <c r="X4085" s="5">
        <f t="shared" si="686"/>
        <v>0.47844827586206895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87"/>
        <v>8.3249999999999993</v>
      </c>
      <c r="AL4085" s="5">
        <f t="shared" si="688"/>
        <v>0.47844827586206895</v>
      </c>
    </row>
    <row r="4086" spans="1:38" x14ac:dyDescent="0.2">
      <c r="A4086" s="8">
        <v>2026</v>
      </c>
      <c r="B4086" s="8">
        <v>6</v>
      </c>
      <c r="C4086" s="8" t="s">
        <v>3377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84"/>
        <v>4.83</v>
      </c>
      <c r="V4086" s="10">
        <f t="shared" si="685"/>
        <v>25.83</v>
      </c>
      <c r="W4086" s="2">
        <f>11.045*S4086</f>
        <v>11.045</v>
      </c>
      <c r="X4086" s="5">
        <f t="shared" si="686"/>
        <v>0.47404761904761905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87"/>
        <v>9.9550000000000001</v>
      </c>
      <c r="AL4086" s="5">
        <f t="shared" si="688"/>
        <v>0.47404761904761905</v>
      </c>
    </row>
    <row r="4087" spans="1:38" x14ac:dyDescent="0.2">
      <c r="A4087" s="8">
        <v>2026</v>
      </c>
      <c r="B4087" s="8">
        <v>6</v>
      </c>
      <c r="C4087" s="8" t="s">
        <v>3377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84"/>
        <v>5.7960000000000003</v>
      </c>
      <c r="V4087" s="10">
        <f t="shared" si="685"/>
        <v>30.995999999999999</v>
      </c>
      <c r="W4087" s="2">
        <f>13.4067*S4087</f>
        <v>13.406700000000001</v>
      </c>
      <c r="X4087" s="5">
        <f t="shared" si="686"/>
        <v>0.4679880952380952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87"/>
        <v>11.793299999999999</v>
      </c>
      <c r="AL4087" s="5">
        <f t="shared" si="688"/>
        <v>0.4679880952380952</v>
      </c>
    </row>
    <row r="4088" spans="1:38" x14ac:dyDescent="0.2">
      <c r="A4088" s="8">
        <v>2026</v>
      </c>
      <c r="B4088" s="8">
        <v>6</v>
      </c>
      <c r="C4088" s="8" t="s">
        <v>3377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84"/>
        <v>6.9</v>
      </c>
      <c r="V4088" s="10">
        <f t="shared" si="685"/>
        <v>36.9</v>
      </c>
      <c r="W4088" s="2">
        <f>16.2249*S4088</f>
        <v>16.224900000000002</v>
      </c>
      <c r="X4088" s="5">
        <f t="shared" si="686"/>
        <v>0.45916999999999997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87"/>
        <v>13.775099999999998</v>
      </c>
      <c r="AL4088" s="5">
        <f t="shared" si="688"/>
        <v>0.45916999999999997</v>
      </c>
    </row>
    <row r="4089" spans="1:38" x14ac:dyDescent="0.2">
      <c r="A4089" s="8">
        <v>2026</v>
      </c>
      <c r="B4089" s="8">
        <v>6</v>
      </c>
      <c r="C4089" s="8" t="s">
        <v>3377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84"/>
        <v>4.1400000000000006</v>
      </c>
      <c r="V4089" s="10">
        <f t="shared" si="685"/>
        <v>22.14</v>
      </c>
      <c r="W4089" s="2">
        <f>9.2346*S4089</f>
        <v>9.2346000000000004</v>
      </c>
      <c r="X4089" s="5">
        <f t="shared" si="686"/>
        <v>0.48696666666666666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87"/>
        <v>8.7653999999999996</v>
      </c>
      <c r="AL4089" s="5">
        <f t="shared" si="688"/>
        <v>0.48696666666666666</v>
      </c>
    </row>
    <row r="4090" spans="1:38" x14ac:dyDescent="0.2">
      <c r="A4090" s="8">
        <v>2026</v>
      </c>
      <c r="B4090" s="8">
        <v>6</v>
      </c>
      <c r="C4090" s="8" t="s">
        <v>3377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84"/>
        <v>4.5540000000000003</v>
      </c>
      <c r="V4090" s="10">
        <f t="shared" si="685"/>
        <v>24.353999999999999</v>
      </c>
      <c r="W4090" s="2">
        <f>10.5267*S4090</f>
        <v>10.5267</v>
      </c>
      <c r="X4090" s="5">
        <f t="shared" si="686"/>
        <v>0.46834848484848485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87"/>
        <v>9.2733000000000008</v>
      </c>
      <c r="AL4090" s="5">
        <f t="shared" si="688"/>
        <v>0.46834848484848485</v>
      </c>
    </row>
    <row r="4091" spans="1:38" x14ac:dyDescent="0.2">
      <c r="A4091" s="8">
        <v>2026</v>
      </c>
      <c r="B4091" s="8">
        <v>6</v>
      </c>
      <c r="C4091" s="8" t="s">
        <v>3377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84"/>
        <v>5.2440000000000007</v>
      </c>
      <c r="V4091" s="10">
        <f t="shared" si="685"/>
        <v>28.044</v>
      </c>
      <c r="W4091" s="2">
        <f>12.2604*S4091</f>
        <v>12.260400000000001</v>
      </c>
      <c r="X4091" s="5">
        <f t="shared" si="686"/>
        <v>0.46226315789473682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87"/>
        <v>10.5396</v>
      </c>
      <c r="AL4091" s="5">
        <f t="shared" si="688"/>
        <v>0.46226315789473682</v>
      </c>
    </row>
    <row r="4092" spans="1:38" x14ac:dyDescent="0.2">
      <c r="A4092" s="8">
        <v>2026</v>
      </c>
      <c r="B4092" s="8">
        <v>6</v>
      </c>
      <c r="C4092" s="8" t="s">
        <v>3377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84"/>
        <v>5.5200000000000005</v>
      </c>
      <c r="V4092" s="10">
        <f t="shared" si="685"/>
        <v>29.52</v>
      </c>
      <c r="W4092" s="2">
        <f>12.71*S4092</f>
        <v>12.71</v>
      </c>
      <c r="X4092" s="5">
        <f t="shared" si="686"/>
        <v>0.47041666666666665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87"/>
        <v>11.29</v>
      </c>
      <c r="AL4092" s="5">
        <f t="shared" si="688"/>
        <v>0.47041666666666665</v>
      </c>
    </row>
    <row r="4093" spans="1:38" x14ac:dyDescent="0.2">
      <c r="A4093" s="8">
        <v>2026</v>
      </c>
      <c r="B4093" s="8">
        <v>6</v>
      </c>
      <c r="C4093" s="8" t="s">
        <v>3377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84"/>
        <v>0</v>
      </c>
      <c r="V4093" s="10">
        <f t="shared" si="685"/>
        <v>0</v>
      </c>
      <c r="W4093" s="2">
        <v>10.6</v>
      </c>
      <c r="X4093" s="5">
        <v>0</v>
      </c>
      <c r="Z4093" s="2" t="s">
        <v>3226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89">T4093-W4093</f>
        <v>-10.6</v>
      </c>
    </row>
    <row r="4094" spans="1:38" x14ac:dyDescent="0.2">
      <c r="A4094" s="8">
        <v>2026</v>
      </c>
      <c r="B4094" s="8">
        <v>6</v>
      </c>
      <c r="C4094" s="8" t="s">
        <v>3377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84"/>
        <v>3.22</v>
      </c>
      <c r="V4094" s="10">
        <f t="shared" si="685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3226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3377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84"/>
        <v>2.99</v>
      </c>
      <c r="V4095" s="10">
        <f t="shared" si="685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3377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84"/>
        <v>3.22</v>
      </c>
      <c r="V4096" s="10">
        <f t="shared" si="685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3226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3377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2964</v>
      </c>
      <c r="R4097" s="2" t="s">
        <v>2965</v>
      </c>
      <c r="S4097" s="9">
        <v>1</v>
      </c>
      <c r="T4097" s="10">
        <v>0</v>
      </c>
      <c r="U4097" s="2">
        <f t="shared" si="684"/>
        <v>0</v>
      </c>
      <c r="V4097" s="10">
        <f t="shared" si="685"/>
        <v>0</v>
      </c>
      <c r="W4097" s="2">
        <v>19.68</v>
      </c>
      <c r="Z4097" s="2" t="s">
        <v>3226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3377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2966</v>
      </c>
      <c r="R4098" s="2" t="s">
        <v>2967</v>
      </c>
      <c r="S4098" s="9">
        <v>2</v>
      </c>
      <c r="T4098" s="10">
        <v>40</v>
      </c>
      <c r="U4098" s="2">
        <f t="shared" si="684"/>
        <v>9.2000000000000011</v>
      </c>
      <c r="V4098" s="10">
        <f t="shared" si="685"/>
        <v>49.2</v>
      </c>
      <c r="W4098" s="2">
        <f>11.525*S4098</f>
        <v>23.05</v>
      </c>
      <c r="X4098" s="5">
        <f t="shared" ref="X4098:X4129" si="690">(T4098-W4098)/T4098</f>
        <v>0.42374999999999996</v>
      </c>
      <c r="Z4098" s="2" t="s">
        <v>3226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91">T4098-W4098</f>
        <v>16.95</v>
      </c>
      <c r="AL4098" s="5">
        <f t="shared" ref="AL4098:AL4119" si="692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3377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84"/>
        <v>0.69000000000000006</v>
      </c>
      <c r="V4099" s="10">
        <f t="shared" si="685"/>
        <v>3.69</v>
      </c>
      <c r="W4099" s="2">
        <f>0.98*S4099</f>
        <v>0.98</v>
      </c>
      <c r="X4099" s="5">
        <f t="shared" si="690"/>
        <v>0.67333333333333334</v>
      </c>
      <c r="Z4099" s="2" t="s">
        <v>3226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91"/>
        <v>2.02</v>
      </c>
      <c r="AL4099" s="5">
        <f t="shared" si="692"/>
        <v>0.67333333333333334</v>
      </c>
    </row>
    <row r="4100" spans="1:38" x14ac:dyDescent="0.2">
      <c r="A4100" s="8">
        <v>2026</v>
      </c>
      <c r="B4100" s="8">
        <v>6</v>
      </c>
      <c r="C4100" s="8" t="s">
        <v>3377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84"/>
        <v>4.83</v>
      </c>
      <c r="V4100" s="10">
        <f t="shared" si="685"/>
        <v>25.83</v>
      </c>
      <c r="W4100" s="2">
        <f>8*S4100</f>
        <v>8</v>
      </c>
      <c r="X4100" s="5">
        <f t="shared" si="690"/>
        <v>0.61904761904761907</v>
      </c>
      <c r="Z4100" s="2" t="s">
        <v>3226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91"/>
        <v>13</v>
      </c>
      <c r="AL4100" s="5">
        <f t="shared" si="692"/>
        <v>0.61904761904761907</v>
      </c>
    </row>
    <row r="4101" spans="1:38" x14ac:dyDescent="0.2">
      <c r="A4101" s="8">
        <v>2026</v>
      </c>
      <c r="B4101" s="8">
        <v>6</v>
      </c>
      <c r="C4101" s="8" t="s">
        <v>3377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84"/>
        <v>3.3120000000000003</v>
      </c>
      <c r="V4101" s="10">
        <f t="shared" si="685"/>
        <v>17.712</v>
      </c>
      <c r="W4101" s="2">
        <f>0.8561*S4101</f>
        <v>6.8487999999999998</v>
      </c>
      <c r="X4101" s="5">
        <f t="shared" si="690"/>
        <v>0.5243888888888889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91"/>
        <v>7.5512000000000006</v>
      </c>
      <c r="AL4101" s="5">
        <f t="shared" si="692"/>
        <v>0.5243888888888889</v>
      </c>
    </row>
    <row r="4102" spans="1:38" x14ac:dyDescent="0.2">
      <c r="A4102" s="8">
        <v>2026</v>
      </c>
      <c r="B4102" s="8">
        <v>6</v>
      </c>
      <c r="C4102" s="8" t="s">
        <v>3377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84"/>
        <v>2.7600000000000002</v>
      </c>
      <c r="V4102" s="10">
        <f t="shared" si="685"/>
        <v>14.76</v>
      </c>
      <c r="W4102" s="2">
        <f>1.4114*S4102</f>
        <v>5.6456</v>
      </c>
      <c r="X4102" s="5">
        <f t="shared" si="690"/>
        <v>0.5295333333333333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91"/>
        <v>6.3544</v>
      </c>
      <c r="AL4102" s="5">
        <f t="shared" si="692"/>
        <v>0.5295333333333333</v>
      </c>
    </row>
    <row r="4103" spans="1:38" x14ac:dyDescent="0.2">
      <c r="A4103" s="8">
        <v>2026</v>
      </c>
      <c r="B4103" s="8">
        <v>6</v>
      </c>
      <c r="C4103" s="8" t="s">
        <v>3377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84"/>
        <v>2.7600000000000002</v>
      </c>
      <c r="V4103" s="10">
        <f t="shared" si="685"/>
        <v>14.76</v>
      </c>
      <c r="W4103" s="2">
        <f>0.677*S4103</f>
        <v>6.7700000000000005</v>
      </c>
      <c r="X4103" s="5">
        <f t="shared" si="690"/>
        <v>0.43583333333333329</v>
      </c>
      <c r="Z4103" s="2" t="s">
        <v>3226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91"/>
        <v>5.2299999999999995</v>
      </c>
      <c r="AL4103" s="5">
        <f t="shared" si="692"/>
        <v>0.43583333333333329</v>
      </c>
    </row>
    <row r="4104" spans="1:38" x14ac:dyDescent="0.2">
      <c r="A4104" s="8">
        <v>2026</v>
      </c>
      <c r="B4104" s="8">
        <v>6</v>
      </c>
      <c r="C4104" s="8" t="s">
        <v>3377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84"/>
        <v>5.29</v>
      </c>
      <c r="V4104" s="10">
        <f t="shared" si="685"/>
        <v>28.29</v>
      </c>
      <c r="W4104" s="2">
        <f>15.0203*S4104</f>
        <v>15.020300000000001</v>
      </c>
      <c r="X4104" s="5">
        <f t="shared" si="690"/>
        <v>0.34694347826086952</v>
      </c>
      <c r="Z4104" s="2" t="s">
        <v>3226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91"/>
        <v>7.9796999999999993</v>
      </c>
      <c r="AL4104" s="5">
        <f t="shared" si="692"/>
        <v>0.34694347826086952</v>
      </c>
    </row>
    <row r="4105" spans="1:38" x14ac:dyDescent="0.2">
      <c r="A4105" s="8">
        <v>2026</v>
      </c>
      <c r="B4105" s="8">
        <v>6</v>
      </c>
      <c r="C4105" s="8" t="s">
        <v>3377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3039</v>
      </c>
      <c r="R4105" s="2" t="s">
        <v>3040</v>
      </c>
      <c r="S4105" s="9">
        <v>1</v>
      </c>
      <c r="T4105" s="10">
        <v>7.8</v>
      </c>
      <c r="U4105" s="2">
        <f t="shared" si="684"/>
        <v>1.794</v>
      </c>
      <c r="V4105" s="10">
        <f t="shared" si="685"/>
        <v>9.5939999999999994</v>
      </c>
      <c r="W4105" s="2">
        <v>5.43</v>
      </c>
      <c r="X4105" s="5">
        <f t="shared" si="690"/>
        <v>0.30384615384615388</v>
      </c>
      <c r="Z4105" s="2" t="s">
        <v>3226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91"/>
        <v>2.37</v>
      </c>
      <c r="AL4105" s="5">
        <f t="shared" si="692"/>
        <v>0.30384615384615388</v>
      </c>
    </row>
    <row r="4106" spans="1:38" x14ac:dyDescent="0.2">
      <c r="A4106" s="8">
        <v>2026</v>
      </c>
      <c r="B4106" s="8">
        <v>6</v>
      </c>
      <c r="C4106" s="8" t="s">
        <v>3377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84"/>
        <v>2.7600000000000002</v>
      </c>
      <c r="V4106" s="2">
        <f t="shared" si="685"/>
        <v>14.76</v>
      </c>
      <c r="W4106" s="2">
        <f>6.895*S4106</f>
        <v>6.8949999999999996</v>
      </c>
      <c r="X4106" s="5">
        <f t="shared" si="690"/>
        <v>0.42541666666666672</v>
      </c>
      <c r="Z4106" s="2" t="s">
        <v>3226</v>
      </c>
      <c r="AA4106" s="2" t="s">
        <v>87</v>
      </c>
      <c r="AB4106" s="2" t="s">
        <v>90</v>
      </c>
      <c r="AC4106" s="2" t="s">
        <v>84</v>
      </c>
      <c r="AI4106" s="2"/>
      <c r="AK4106" s="2">
        <f t="shared" si="691"/>
        <v>5.1050000000000004</v>
      </c>
      <c r="AL4106" s="5">
        <f t="shared" si="692"/>
        <v>0.42541666666666672</v>
      </c>
    </row>
    <row r="4107" spans="1:38" x14ac:dyDescent="0.2">
      <c r="A4107" s="8">
        <v>2026</v>
      </c>
      <c r="B4107" s="8">
        <v>6</v>
      </c>
      <c r="C4107" s="8" t="s">
        <v>3377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84"/>
        <v>2.7600000000000002</v>
      </c>
      <c r="V4107" s="2">
        <f t="shared" si="685"/>
        <v>14.76</v>
      </c>
      <c r="W4107" s="2">
        <v>6.86</v>
      </c>
      <c r="X4107" s="5">
        <f t="shared" si="690"/>
        <v>0.42833333333333329</v>
      </c>
      <c r="Z4107" s="2" t="s">
        <v>3226</v>
      </c>
      <c r="AA4107" s="2" t="s">
        <v>3378</v>
      </c>
      <c r="AB4107" s="2" t="s">
        <v>90</v>
      </c>
      <c r="AC4107" s="2" t="s">
        <v>84</v>
      </c>
      <c r="AI4107" s="2"/>
      <c r="AK4107" s="2">
        <f t="shared" si="691"/>
        <v>5.14</v>
      </c>
      <c r="AL4107" s="5">
        <f t="shared" si="692"/>
        <v>0.42833333333333329</v>
      </c>
    </row>
    <row r="4108" spans="1:38" x14ac:dyDescent="0.2">
      <c r="A4108" s="8">
        <v>2026</v>
      </c>
      <c r="B4108" s="8">
        <v>6</v>
      </c>
      <c r="C4108" s="8" t="s">
        <v>3377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3041</v>
      </c>
      <c r="R4108" s="2" t="s">
        <v>3042</v>
      </c>
      <c r="S4108" s="9">
        <v>1</v>
      </c>
      <c r="T4108" s="10">
        <v>3</v>
      </c>
      <c r="U4108" s="2">
        <f t="shared" si="684"/>
        <v>0.69000000000000006</v>
      </c>
      <c r="V4108" s="2">
        <f t="shared" si="685"/>
        <v>3.69</v>
      </c>
      <c r="X4108" s="5">
        <f t="shared" si="690"/>
        <v>1</v>
      </c>
      <c r="Z4108" s="2" t="s">
        <v>3226</v>
      </c>
      <c r="AA4108" s="2" t="s">
        <v>3378</v>
      </c>
      <c r="AI4108" s="2"/>
      <c r="AK4108" s="2">
        <f t="shared" si="691"/>
        <v>3</v>
      </c>
      <c r="AL4108" s="5">
        <f t="shared" si="69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3043</v>
      </c>
      <c r="R4109" s="2" t="s">
        <v>3044</v>
      </c>
      <c r="S4109" s="9">
        <v>1</v>
      </c>
      <c r="T4109" s="10">
        <v>140.37</v>
      </c>
      <c r="U4109" s="2">
        <f t="shared" ref="U4109:U4140" si="693">T4109*23%</f>
        <v>32.2851</v>
      </c>
      <c r="V4109" s="10">
        <f t="shared" ref="V4109:V4140" si="694">T4109+U4109</f>
        <v>172.6551</v>
      </c>
      <c r="X4109" s="5">
        <f t="shared" si="690"/>
        <v>1</v>
      </c>
      <c r="AI4109" s="2"/>
      <c r="AK4109" s="2">
        <f t="shared" si="691"/>
        <v>140.37</v>
      </c>
      <c r="AL4109" s="5">
        <f t="shared" si="692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93"/>
        <v>76.59</v>
      </c>
      <c r="V4110" s="2">
        <f t="shared" si="694"/>
        <v>409.59000000000003</v>
      </c>
      <c r="W4110" s="2">
        <f>T4110*40%</f>
        <v>133.20000000000002</v>
      </c>
      <c r="X4110" s="5">
        <f t="shared" si="690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91"/>
        <v>199.79999999999998</v>
      </c>
      <c r="AL4110" s="5">
        <f t="shared" si="692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93"/>
        <v>25.3</v>
      </c>
      <c r="V4111" s="2">
        <f t="shared" si="694"/>
        <v>135.30000000000001</v>
      </c>
      <c r="W4111" s="2">
        <f>T4111*50%</f>
        <v>55</v>
      </c>
      <c r="X4111" s="5">
        <f t="shared" si="690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91"/>
        <v>55</v>
      </c>
      <c r="AL4111" s="5">
        <f t="shared" si="692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3045</v>
      </c>
      <c r="R4112" s="2" t="s">
        <v>3046</v>
      </c>
      <c r="S4112" s="9">
        <v>1</v>
      </c>
      <c r="T4112" s="10">
        <v>76.150000000000006</v>
      </c>
      <c r="U4112" s="2">
        <f t="shared" si="693"/>
        <v>17.514500000000002</v>
      </c>
      <c r="V4112" s="10">
        <f t="shared" si="694"/>
        <v>93.664500000000004</v>
      </c>
      <c r="X4112" s="5">
        <f t="shared" si="690"/>
        <v>1</v>
      </c>
      <c r="AI4112" s="2"/>
      <c r="AK4112" s="2">
        <f t="shared" si="691"/>
        <v>76.150000000000006</v>
      </c>
      <c r="AL4112" s="5">
        <f t="shared" si="692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93"/>
        <v>275.72399999999999</v>
      </c>
      <c r="V4113" s="10">
        <f t="shared" si="694"/>
        <v>1474.5239999999999</v>
      </c>
      <c r="W4113" s="2">
        <f>346.57*S4113</f>
        <v>693.14</v>
      </c>
      <c r="X4113" s="5">
        <f t="shared" si="690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91"/>
        <v>505.65999999999997</v>
      </c>
      <c r="AL4113" s="5">
        <f t="shared" si="692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M4114" s="2" t="s">
        <v>40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93"/>
        <v>96.367699999999999</v>
      </c>
      <c r="V4114" s="10">
        <f t="shared" si="694"/>
        <v>515.35770000000002</v>
      </c>
      <c r="W4114" s="2">
        <v>237.8466</v>
      </c>
      <c r="X4114" s="5">
        <f t="shared" si="690"/>
        <v>0.43233346857920241</v>
      </c>
      <c r="Z4114" s="2" t="s">
        <v>117</v>
      </c>
      <c r="AA4114" s="2" t="s">
        <v>118</v>
      </c>
      <c r="AB4114" s="2" t="s">
        <v>119</v>
      </c>
      <c r="AC4114" s="2" t="s">
        <v>114</v>
      </c>
      <c r="AI4114" s="2"/>
      <c r="AK4114" s="2">
        <f t="shared" si="691"/>
        <v>181.14340000000001</v>
      </c>
      <c r="AL4114" s="5">
        <f t="shared" si="692"/>
        <v>0.43233346857920241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93"/>
        <v>30.166800000000002</v>
      </c>
      <c r="V4115" s="10">
        <f t="shared" si="694"/>
        <v>161.32679999999999</v>
      </c>
      <c r="X4115" s="5">
        <f t="shared" si="690"/>
        <v>1</v>
      </c>
      <c r="AI4115" s="2"/>
      <c r="AK4115" s="2">
        <f t="shared" si="691"/>
        <v>131.16</v>
      </c>
      <c r="AL4115" s="5">
        <f t="shared" si="692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93"/>
        <v>54.74</v>
      </c>
      <c r="V4116" s="2">
        <f t="shared" si="694"/>
        <v>292.74</v>
      </c>
      <c r="W4116" s="2">
        <f>T4116*40%</f>
        <v>95.2</v>
      </c>
      <c r="X4116" s="5">
        <f t="shared" si="690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91"/>
        <v>142.80000000000001</v>
      </c>
      <c r="AL4116" s="5">
        <f t="shared" si="692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93"/>
        <v>12.65</v>
      </c>
      <c r="V4117" s="2">
        <f t="shared" si="694"/>
        <v>67.650000000000006</v>
      </c>
      <c r="W4117" s="2">
        <f>T4117*50%</f>
        <v>27.5</v>
      </c>
      <c r="X4117" s="5">
        <f t="shared" si="690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91"/>
        <v>27.5</v>
      </c>
      <c r="AL4117" s="5">
        <f t="shared" si="692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3047</v>
      </c>
      <c r="R4118" s="2" t="s">
        <v>3048</v>
      </c>
      <c r="S4118" s="9">
        <v>1</v>
      </c>
      <c r="T4118" s="10">
        <v>17.5</v>
      </c>
      <c r="U4118" s="2">
        <f t="shared" si="693"/>
        <v>4.0250000000000004</v>
      </c>
      <c r="V4118" s="10">
        <f t="shared" si="694"/>
        <v>21.524999999999999</v>
      </c>
      <c r="X4118" s="5">
        <f t="shared" si="690"/>
        <v>1</v>
      </c>
      <c r="AI4118" s="2"/>
      <c r="AK4118" s="2">
        <f t="shared" si="691"/>
        <v>17.5</v>
      </c>
      <c r="AL4118" s="5">
        <f t="shared" si="692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93"/>
        <v>1.84</v>
      </c>
      <c r="V4119" s="10">
        <f t="shared" si="694"/>
        <v>9.84</v>
      </c>
      <c r="W4119" s="2">
        <v>6</v>
      </c>
      <c r="X4119" s="5">
        <f t="shared" si="690"/>
        <v>0.25</v>
      </c>
      <c r="Z4119" s="2" t="s">
        <v>169</v>
      </c>
      <c r="AA4119" s="2" t="s">
        <v>169</v>
      </c>
      <c r="AI4119" s="2"/>
      <c r="AK4119" s="2">
        <f t="shared" si="691"/>
        <v>2</v>
      </c>
      <c r="AL4119" s="5">
        <f t="shared" si="692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2974</v>
      </c>
      <c r="R4120" s="2" t="s">
        <v>2975</v>
      </c>
      <c r="S4120" s="9">
        <v>1</v>
      </c>
      <c r="T4120" s="10">
        <v>2460</v>
      </c>
      <c r="U4120" s="2">
        <f t="shared" si="693"/>
        <v>565.80000000000007</v>
      </c>
      <c r="V4120" s="10">
        <f t="shared" si="694"/>
        <v>3025.8</v>
      </c>
      <c r="X4120" s="5">
        <f t="shared" si="690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3049</v>
      </c>
      <c r="R4121" s="2" t="s">
        <v>3050</v>
      </c>
      <c r="S4121" s="9">
        <v>2</v>
      </c>
      <c r="T4121" s="10">
        <v>17.8</v>
      </c>
      <c r="U4121" s="2">
        <f t="shared" si="693"/>
        <v>4.0940000000000003</v>
      </c>
      <c r="V4121" s="10">
        <f t="shared" si="694"/>
        <v>21.894000000000002</v>
      </c>
      <c r="W4121" s="2">
        <f>6.23*2</f>
        <v>12.46</v>
      </c>
      <c r="X4121" s="5">
        <f t="shared" si="690"/>
        <v>0.3</v>
      </c>
      <c r="Z4121" s="2" t="s">
        <v>3226</v>
      </c>
      <c r="AA4121" s="2" t="s">
        <v>155</v>
      </c>
      <c r="AB4121" s="2" t="s">
        <v>3402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93"/>
        <v>494.5</v>
      </c>
      <c r="V4122" s="10">
        <f t="shared" si="694"/>
        <v>2644.5</v>
      </c>
      <c r="X4122" s="5">
        <f t="shared" si="690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93"/>
        <v>503.70000000000005</v>
      </c>
      <c r="V4123" s="10">
        <f t="shared" si="694"/>
        <v>2693.7</v>
      </c>
      <c r="W4123" s="2">
        <v>1578</v>
      </c>
      <c r="X4123" s="5">
        <f t="shared" si="690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93"/>
        <v>161.31050000000002</v>
      </c>
      <c r="V4124" s="10">
        <f t="shared" si="694"/>
        <v>862.66050000000007</v>
      </c>
      <c r="X4124" s="5">
        <f t="shared" si="690"/>
        <v>1</v>
      </c>
      <c r="Z4124" s="2" t="s">
        <v>119</v>
      </c>
      <c r="AA4124" s="2" t="s">
        <v>3379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3391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93"/>
        <v>52.900000000000006</v>
      </c>
      <c r="V4125" s="10">
        <f t="shared" si="694"/>
        <v>282.89999999999998</v>
      </c>
      <c r="W4125" s="2">
        <v>122.25</v>
      </c>
      <c r="X4125" s="5">
        <f t="shared" si="690"/>
        <v>0.46847826086956523</v>
      </c>
      <c r="Z4125" s="2" t="s">
        <v>3226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3391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93"/>
        <v>0.34040000000000004</v>
      </c>
      <c r="V4126" s="10">
        <f t="shared" si="694"/>
        <v>1.8204</v>
      </c>
      <c r="W4126" s="2">
        <f>1.48*S4126</f>
        <v>1.48</v>
      </c>
      <c r="X4126" s="5">
        <f t="shared" si="690"/>
        <v>0</v>
      </c>
      <c r="Z4126" s="2" t="s">
        <v>3226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3105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93"/>
        <v>2053.9</v>
      </c>
      <c r="V4127" s="10">
        <f t="shared" si="694"/>
        <v>10983.9</v>
      </c>
      <c r="X4127" s="5">
        <f t="shared" si="690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3105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93"/>
        <v>1722.7</v>
      </c>
      <c r="V4128" s="10">
        <f t="shared" si="694"/>
        <v>9212.7000000000007</v>
      </c>
      <c r="X4128" s="5">
        <f t="shared" si="690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3481</v>
      </c>
      <c r="Q4129" s="2" t="s">
        <v>3051</v>
      </c>
      <c r="R4129" s="2" t="s">
        <v>3052</v>
      </c>
      <c r="S4129" s="9">
        <v>1</v>
      </c>
      <c r="T4129" s="10">
        <v>10</v>
      </c>
      <c r="U4129" s="2">
        <f t="shared" si="693"/>
        <v>2.3000000000000003</v>
      </c>
      <c r="V4129" s="10">
        <f t="shared" si="694"/>
        <v>12.3</v>
      </c>
      <c r="X4129" s="5">
        <f t="shared" si="690"/>
        <v>1</v>
      </c>
      <c r="Z4129" s="2" t="s">
        <v>3226</v>
      </c>
      <c r="AA4129" s="2" t="s">
        <v>87</v>
      </c>
      <c r="AB4129" s="2" t="s">
        <v>90</v>
      </c>
      <c r="AC4129" s="2" t="s">
        <v>3481</v>
      </c>
      <c r="AI4129" s="2"/>
      <c r="AK4129" s="2">
        <f t="shared" ref="AK4129:AK4140" si="695">T4129-W4129</f>
        <v>10</v>
      </c>
      <c r="AL4129" s="5">
        <f t="shared" ref="AL4129:AL4140" si="696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93"/>
        <v>2.7600000000000002</v>
      </c>
      <c r="V4130" s="10">
        <f t="shared" si="694"/>
        <v>14.76</v>
      </c>
      <c r="X4130" s="5">
        <f t="shared" ref="X4130:X4150" si="697">(T4130-W4130)/T4130</f>
        <v>1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95"/>
        <v>12</v>
      </c>
      <c r="AL4130" s="5">
        <f t="shared" si="696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3053</v>
      </c>
      <c r="R4131" s="2" t="s">
        <v>3054</v>
      </c>
      <c r="S4131" s="9">
        <v>2</v>
      </c>
      <c r="T4131" s="10">
        <v>4</v>
      </c>
      <c r="U4131" s="2">
        <f t="shared" si="693"/>
        <v>0.92</v>
      </c>
      <c r="V4131" s="10">
        <f t="shared" si="694"/>
        <v>4.92</v>
      </c>
      <c r="X4131" s="5">
        <f t="shared" si="697"/>
        <v>1</v>
      </c>
      <c r="Z4131" s="2" t="s">
        <v>3226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95"/>
        <v>4</v>
      </c>
      <c r="AL4131" s="5">
        <f t="shared" si="696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93"/>
        <v>1.1500000000000001</v>
      </c>
      <c r="V4132" s="10">
        <f t="shared" si="694"/>
        <v>6.15</v>
      </c>
      <c r="W4132" s="2">
        <v>6</v>
      </c>
      <c r="X4132" s="5">
        <f t="shared" si="697"/>
        <v>-0.2</v>
      </c>
      <c r="Z4132" s="2" t="s">
        <v>169</v>
      </c>
      <c r="AA4132" s="2" t="s">
        <v>169</v>
      </c>
      <c r="AI4132" s="2"/>
      <c r="AK4132" s="2">
        <f t="shared" si="695"/>
        <v>-1</v>
      </c>
      <c r="AL4132" s="5">
        <f t="shared" si="696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93"/>
        <v>11.695500000000001</v>
      </c>
      <c r="V4133" s="2">
        <f t="shared" si="694"/>
        <v>62.545500000000004</v>
      </c>
      <c r="X4133" s="5">
        <f t="shared" si="697"/>
        <v>1</v>
      </c>
      <c r="Z4133" s="2" t="s">
        <v>117</v>
      </c>
      <c r="AA4133" s="2" t="s">
        <v>1310</v>
      </c>
      <c r="AI4133" s="2"/>
      <c r="AK4133" s="2">
        <f t="shared" si="695"/>
        <v>50.85</v>
      </c>
      <c r="AL4133" s="5">
        <f t="shared" si="696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93"/>
        <v>50.473500000000001</v>
      </c>
      <c r="V4134" s="10">
        <f t="shared" si="694"/>
        <v>269.92349999999999</v>
      </c>
      <c r="X4134" s="5">
        <f t="shared" si="697"/>
        <v>1</v>
      </c>
      <c r="AI4134" s="2"/>
      <c r="AK4134" s="2">
        <f t="shared" si="695"/>
        <v>219.45</v>
      </c>
      <c r="AL4134" s="5">
        <f t="shared" si="696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93"/>
        <v>13.8</v>
      </c>
      <c r="V4135" s="2">
        <f t="shared" si="694"/>
        <v>73.8</v>
      </c>
      <c r="W4135" s="2">
        <f>T4135*40%</f>
        <v>24</v>
      </c>
      <c r="X4135" s="5">
        <f t="shared" si="697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95"/>
        <v>36</v>
      </c>
      <c r="AL4135" s="5">
        <f t="shared" si="696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93"/>
        <v>12.65</v>
      </c>
      <c r="V4136" s="2">
        <f t="shared" si="694"/>
        <v>67.650000000000006</v>
      </c>
      <c r="W4136" s="2">
        <f>T4136*50%</f>
        <v>27.5</v>
      </c>
      <c r="X4136" s="5">
        <f t="shared" si="697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95"/>
        <v>27.5</v>
      </c>
      <c r="AL4136" s="5">
        <f t="shared" si="696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93"/>
        <v>51.313000000000002</v>
      </c>
      <c r="V4137" s="2">
        <f t="shared" si="694"/>
        <v>274.41300000000001</v>
      </c>
      <c r="W4137" s="2">
        <v>141.18</v>
      </c>
      <c r="X4137" s="5">
        <f t="shared" si="697"/>
        <v>0.36718960107575072</v>
      </c>
      <c r="Z4137" s="2" t="s">
        <v>3226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695"/>
        <v>81.919999999999987</v>
      </c>
      <c r="AL4137" s="5">
        <f t="shared" si="696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93"/>
        <v>0.34040000000000004</v>
      </c>
      <c r="V4138" s="10">
        <f t="shared" si="694"/>
        <v>1.8204</v>
      </c>
      <c r="W4138" s="2">
        <f>1.48*S4138</f>
        <v>1.48</v>
      </c>
      <c r="X4138" s="5">
        <f t="shared" si="697"/>
        <v>0</v>
      </c>
      <c r="Z4138" s="2" t="s">
        <v>3226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95"/>
        <v>0</v>
      </c>
      <c r="AL4138" s="5">
        <f t="shared" si="696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93"/>
        <v>4.1400000000000006</v>
      </c>
      <c r="V4139" s="10">
        <f t="shared" si="694"/>
        <v>22.14</v>
      </c>
      <c r="W4139" s="2">
        <v>10.6</v>
      </c>
      <c r="X4139" s="5">
        <f t="shared" si="697"/>
        <v>0.41111111111111115</v>
      </c>
      <c r="Z4139" s="2" t="s">
        <v>3226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95"/>
        <v>7.4</v>
      </c>
      <c r="AL4139" s="5">
        <f t="shared" si="696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93"/>
        <v>4.83</v>
      </c>
      <c r="V4140" s="10">
        <f t="shared" si="694"/>
        <v>25.83</v>
      </c>
      <c r="W4140" s="2">
        <f>10.67*S4140</f>
        <v>10.67</v>
      </c>
      <c r="X4140" s="5">
        <f t="shared" si="697"/>
        <v>0.4919047619047619</v>
      </c>
      <c r="Z4140" s="2" t="s">
        <v>3226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95"/>
        <v>10.33</v>
      </c>
      <c r="AL4140" s="5">
        <f t="shared" si="696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698">T4141*23%</f>
        <v>52.900000000000006</v>
      </c>
      <c r="V4141" s="10">
        <f t="shared" ref="V4141:V4172" si="699">T4141+U4141</f>
        <v>282.89999999999998</v>
      </c>
      <c r="W4141" s="2">
        <f>115.92+6.06</f>
        <v>121.98</v>
      </c>
      <c r="X4141" s="5">
        <f t="shared" si="697"/>
        <v>0.46965217391304348</v>
      </c>
      <c r="Z4141" s="2" t="s">
        <v>3226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700">T4141-W4141</f>
        <v>108.02</v>
      </c>
      <c r="AL4141" s="5">
        <f t="shared" ref="AL4141:AL4150" si="701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98"/>
        <v>0.34040000000000004</v>
      </c>
      <c r="V4142" s="10">
        <f t="shared" si="699"/>
        <v>1.8204</v>
      </c>
      <c r="W4142" s="2">
        <f>1.48*S4142</f>
        <v>1.48</v>
      </c>
      <c r="X4142" s="5">
        <f t="shared" si="697"/>
        <v>0</v>
      </c>
      <c r="Z4142" s="2" t="s">
        <v>3226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700"/>
        <v>0</v>
      </c>
      <c r="AL4142" s="5">
        <f t="shared" si="701"/>
        <v>0</v>
      </c>
    </row>
    <row r="4143" spans="1:38" x14ac:dyDescent="0.2">
      <c r="A4143" s="8">
        <v>2026</v>
      </c>
      <c r="B4143" s="8">
        <v>6</v>
      </c>
      <c r="C4143" s="8" t="s">
        <v>3322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3055</v>
      </c>
      <c r="R4143" s="2" t="s">
        <v>207</v>
      </c>
      <c r="S4143" s="9">
        <v>1</v>
      </c>
      <c r="T4143" s="10">
        <v>400</v>
      </c>
      <c r="U4143" s="2">
        <f t="shared" si="698"/>
        <v>92</v>
      </c>
      <c r="V4143" s="10">
        <f t="shared" si="699"/>
        <v>492</v>
      </c>
      <c r="W4143" s="2">
        <f>271.66+19.93</f>
        <v>291.59000000000003</v>
      </c>
      <c r="X4143" s="5">
        <f t="shared" si="697"/>
        <v>0.2710249999999999</v>
      </c>
      <c r="Z4143" s="2" t="s">
        <v>3226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700"/>
        <v>108.40999999999997</v>
      </c>
      <c r="AL4143" s="5">
        <f t="shared" si="701"/>
        <v>0.2710249999999999</v>
      </c>
    </row>
    <row r="4144" spans="1:38" x14ac:dyDescent="0.2">
      <c r="A4144" s="8">
        <v>2026</v>
      </c>
      <c r="B4144" s="8">
        <v>6</v>
      </c>
      <c r="C4144" s="8" t="s">
        <v>3322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98"/>
        <v>0.34040000000000004</v>
      </c>
      <c r="V4144" s="10">
        <f t="shared" si="699"/>
        <v>1.8204</v>
      </c>
      <c r="W4144" s="2">
        <f>1.48*S4144</f>
        <v>1.48</v>
      </c>
      <c r="X4144" s="5">
        <f t="shared" si="697"/>
        <v>0</v>
      </c>
      <c r="Z4144" s="2" t="s">
        <v>3226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700"/>
        <v>0</v>
      </c>
      <c r="AL4144" s="5">
        <f t="shared" si="701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98"/>
        <v>92</v>
      </c>
      <c r="V4145" s="10">
        <f t="shared" si="699"/>
        <v>492</v>
      </c>
      <c r="W4145" s="2">
        <v>290</v>
      </c>
      <c r="X4145" s="5">
        <f t="shared" si="697"/>
        <v>0.27500000000000002</v>
      </c>
      <c r="Z4145" s="2" t="s">
        <v>3226</v>
      </c>
      <c r="AA4145" s="2" t="s">
        <v>46</v>
      </c>
      <c r="AB4145" s="2" t="s">
        <v>60</v>
      </c>
      <c r="AC4145" s="2" t="s">
        <v>3331</v>
      </c>
      <c r="AI4145" s="2"/>
      <c r="AK4145" s="2">
        <f t="shared" si="700"/>
        <v>110</v>
      </c>
      <c r="AL4145" s="5">
        <f t="shared" si="701"/>
        <v>0.27500000000000002</v>
      </c>
    </row>
    <row r="4146" spans="1:38" x14ac:dyDescent="0.2">
      <c r="A4146" s="8">
        <v>2026</v>
      </c>
      <c r="B4146" s="8">
        <v>6</v>
      </c>
      <c r="C4146" s="8" t="s">
        <v>3293</v>
      </c>
      <c r="D4146" s="2" t="s">
        <v>3328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98"/>
        <v>1285.7</v>
      </c>
      <c r="V4146" s="10">
        <f t="shared" si="699"/>
        <v>6875.7</v>
      </c>
      <c r="W4146" s="2">
        <v>4275.9799999999996</v>
      </c>
      <c r="X4146" s="5">
        <f t="shared" si="697"/>
        <v>0.23506618962432924</v>
      </c>
      <c r="Z4146" s="2" t="s">
        <v>104</v>
      </c>
      <c r="AA4146" s="2" t="s">
        <v>616</v>
      </c>
      <c r="AB4146" s="2" t="s">
        <v>3172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700"/>
        <v>1314.0200000000004</v>
      </c>
      <c r="AL4146" s="5">
        <f t="shared" si="701"/>
        <v>0.23506618962432924</v>
      </c>
    </row>
    <row r="4147" spans="1:38" x14ac:dyDescent="0.2">
      <c r="A4147" s="8">
        <v>2026</v>
      </c>
      <c r="B4147" s="8">
        <v>6</v>
      </c>
      <c r="C4147" s="8" t="s">
        <v>3293</v>
      </c>
      <c r="D4147" s="2" t="s">
        <v>3328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98"/>
        <v>1021.2</v>
      </c>
      <c r="V4147" s="10">
        <f t="shared" si="699"/>
        <v>5461.2</v>
      </c>
      <c r="W4147" s="2">
        <v>3345.125</v>
      </c>
      <c r="X4147" s="5">
        <f t="shared" si="697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700"/>
        <v>1094.875</v>
      </c>
      <c r="AL4147" s="5">
        <f t="shared" si="701"/>
        <v>0.24659346846846847</v>
      </c>
    </row>
    <row r="4148" spans="1:38" x14ac:dyDescent="0.2">
      <c r="A4148" s="8">
        <v>2026</v>
      </c>
      <c r="B4148" s="8">
        <v>6</v>
      </c>
      <c r="C4148" s="8" t="s">
        <v>3293</v>
      </c>
      <c r="D4148" s="2" t="s">
        <v>3328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1608</v>
      </c>
      <c r="Q4148" s="2" t="s">
        <v>3056</v>
      </c>
      <c r="R4148" s="2" t="s">
        <v>3057</v>
      </c>
      <c r="S4148" s="9">
        <v>2</v>
      </c>
      <c r="T4148" s="10">
        <v>10000</v>
      </c>
      <c r="U4148" s="2">
        <f t="shared" si="698"/>
        <v>2300</v>
      </c>
      <c r="V4148" s="10">
        <f t="shared" si="699"/>
        <v>12300</v>
      </c>
      <c r="W4148" s="2">
        <f>3681.98*2</f>
        <v>7363.96</v>
      </c>
      <c r="X4148" s="5">
        <f t="shared" si="697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700"/>
        <v>2636.04</v>
      </c>
      <c r="AL4148" s="5">
        <f t="shared" si="701"/>
        <v>0.263604</v>
      </c>
    </row>
    <row r="4149" spans="1:38" x14ac:dyDescent="0.2">
      <c r="A4149" s="8">
        <v>2026</v>
      </c>
      <c r="B4149" s="8">
        <v>6</v>
      </c>
      <c r="C4149" s="8" t="s">
        <v>3293</v>
      </c>
      <c r="D4149" s="2" t="s">
        <v>3328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3168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698"/>
        <v>602.6</v>
      </c>
      <c r="V4149" s="10">
        <f t="shared" si="699"/>
        <v>3222.6</v>
      </c>
      <c r="W4149" s="2">
        <v>1978.46</v>
      </c>
      <c r="X4149" s="5">
        <f t="shared" si="697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700"/>
        <v>641.54</v>
      </c>
      <c r="AL4149" s="5">
        <f t="shared" si="701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698"/>
        <v>114.77000000000001</v>
      </c>
      <c r="V4150" s="10">
        <f t="shared" si="699"/>
        <v>613.77</v>
      </c>
      <c r="W4150" s="2">
        <v>297</v>
      </c>
      <c r="X4150" s="5">
        <f t="shared" si="697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700"/>
        <v>202</v>
      </c>
      <c r="AL4150" s="5">
        <f t="shared" si="701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98"/>
        <v>0</v>
      </c>
      <c r="V4151" s="10">
        <f t="shared" si="699"/>
        <v>0</v>
      </c>
      <c r="W4151" s="2">
        <f>14.5099*S4151</f>
        <v>29.0198</v>
      </c>
      <c r="X4151" s="18">
        <v>-1</v>
      </c>
      <c r="Z4151" s="2" t="s">
        <v>3226</v>
      </c>
      <c r="AA4151" s="2" t="s">
        <v>46</v>
      </c>
      <c r="AB4151" s="2" t="s">
        <v>60</v>
      </c>
      <c r="AC4151" s="2" t="s">
        <v>3331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98"/>
        <v>0</v>
      </c>
      <c r="V4152" s="10">
        <f t="shared" si="699"/>
        <v>0</v>
      </c>
      <c r="W4152" s="2">
        <f>14.5099*S4152</f>
        <v>29.0198</v>
      </c>
      <c r="X4152" s="19">
        <v>-1</v>
      </c>
      <c r="Z4152" s="2" t="s">
        <v>3226</v>
      </c>
      <c r="AA4152" s="2" t="s">
        <v>46</v>
      </c>
      <c r="AB4152" s="2" t="s">
        <v>60</v>
      </c>
      <c r="AC4152" s="2" t="s">
        <v>3331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 t="s">
        <v>3391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98"/>
        <v>8.2800000000000011</v>
      </c>
      <c r="V4153" s="10">
        <f t="shared" si="699"/>
        <v>44.28</v>
      </c>
      <c r="W4153" s="2">
        <f>10.6*S4153</f>
        <v>21.2</v>
      </c>
      <c r="X4153" s="5">
        <f t="shared" ref="X4153:X4189" si="702">(T4153-W4153)/T4153</f>
        <v>0.41111111111111115</v>
      </c>
      <c r="Z4153" s="2" t="s">
        <v>3226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703">T4153-W4153</f>
        <v>14.8</v>
      </c>
      <c r="AL4153" s="5">
        <f t="shared" ref="AL4153" si="704">(T4153-W4153)/T4153</f>
        <v>0.41111111111111115</v>
      </c>
    </row>
    <row r="4154" spans="1:38" x14ac:dyDescent="0.2">
      <c r="A4154" s="8">
        <v>2026</v>
      </c>
      <c r="B4154" s="8">
        <v>6</v>
      </c>
      <c r="C4154" s="8" t="s">
        <v>3391</v>
      </c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M4154" s="2" t="s">
        <v>41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98"/>
        <v>1.84</v>
      </c>
      <c r="V4154" s="10">
        <f t="shared" si="699"/>
        <v>9.84</v>
      </c>
      <c r="W4154" s="2">
        <v>6</v>
      </c>
      <c r="X4154" s="5">
        <f t="shared" si="702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98"/>
        <v>14.49</v>
      </c>
      <c r="V4155" s="10">
        <f t="shared" si="699"/>
        <v>77.489999999999995</v>
      </c>
      <c r="W4155" s="2">
        <f>10.67*S4155</f>
        <v>32.01</v>
      </c>
      <c r="X4155" s="5">
        <f t="shared" si="702"/>
        <v>0.49190476190476196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705">T4155-W4155</f>
        <v>30.990000000000002</v>
      </c>
      <c r="AL4155" s="5">
        <f t="shared" ref="AL4155:AL4172" si="706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98"/>
        <v>6.21</v>
      </c>
      <c r="V4156" s="10">
        <f t="shared" si="699"/>
        <v>33.21</v>
      </c>
      <c r="W4156" s="2">
        <f>3.7358*S4156</f>
        <v>11.2074</v>
      </c>
      <c r="X4156" s="5">
        <f t="shared" si="702"/>
        <v>0.58491111111111116</v>
      </c>
      <c r="Z4156" s="2" t="s">
        <v>3226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705"/>
        <v>15.7926</v>
      </c>
      <c r="AL4156" s="5">
        <f t="shared" si="706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98"/>
        <v>9.6508000000000003</v>
      </c>
      <c r="V4157" s="10">
        <f t="shared" si="699"/>
        <v>51.610799999999998</v>
      </c>
      <c r="W4157" s="2">
        <f>23.042*S4157</f>
        <v>23.042000000000002</v>
      </c>
      <c r="X4157" s="5">
        <f t="shared" si="702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705"/>
        <v>18.917999999999999</v>
      </c>
      <c r="AL4157" s="5">
        <f t="shared" si="706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98"/>
        <v>92</v>
      </c>
      <c r="V4158" s="10">
        <f t="shared" si="699"/>
        <v>492</v>
      </c>
      <c r="W4158" s="2">
        <f>14.5099*S4158</f>
        <v>290.19799999999998</v>
      </c>
      <c r="X4158" s="5">
        <f t="shared" si="702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3331</v>
      </c>
      <c r="AI4158" s="2"/>
      <c r="AK4158" s="2">
        <f t="shared" si="705"/>
        <v>109.80200000000002</v>
      </c>
      <c r="AL4158" s="5">
        <f t="shared" si="706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98"/>
        <v>92</v>
      </c>
      <c r="V4159" s="10">
        <f t="shared" si="699"/>
        <v>492</v>
      </c>
      <c r="W4159" s="2">
        <f>14.5099*S4159</f>
        <v>290.19799999999998</v>
      </c>
      <c r="X4159" s="5">
        <f t="shared" si="702"/>
        <v>0.27450500000000005</v>
      </c>
      <c r="Z4159" s="2" t="s">
        <v>3226</v>
      </c>
      <c r="AA4159" s="2" t="s">
        <v>46</v>
      </c>
      <c r="AB4159" s="2" t="s">
        <v>60</v>
      </c>
      <c r="AC4159" s="2" t="s">
        <v>3331</v>
      </c>
      <c r="AI4159" s="2"/>
      <c r="AK4159" s="2">
        <f t="shared" si="705"/>
        <v>109.80200000000002</v>
      </c>
      <c r="AL4159" s="5">
        <f t="shared" si="706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3194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98"/>
        <v>46</v>
      </c>
      <c r="V4160" s="10">
        <f t="shared" si="699"/>
        <v>246</v>
      </c>
      <c r="W4160" s="2">
        <f>110.125+11.77</f>
        <v>121.895</v>
      </c>
      <c r="X4160" s="5">
        <f t="shared" si="702"/>
        <v>0.39052500000000001</v>
      </c>
      <c r="Z4160" s="2" t="s">
        <v>3226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707">AI4160*T4160</f>
        <v>0</v>
      </c>
      <c r="AK4160" s="2">
        <f t="shared" si="705"/>
        <v>78.105000000000004</v>
      </c>
      <c r="AL4160" s="5">
        <f t="shared" si="706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98"/>
        <v>0.34040000000000004</v>
      </c>
      <c r="V4161" s="10">
        <f t="shared" si="699"/>
        <v>1.8204</v>
      </c>
      <c r="W4161" s="2">
        <f>1.48*S4161</f>
        <v>1.48</v>
      </c>
      <c r="X4161" s="5">
        <f t="shared" si="702"/>
        <v>0</v>
      </c>
      <c r="Z4161" s="2" t="s">
        <v>3226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707"/>
        <v>0</v>
      </c>
      <c r="AK4161" s="2">
        <f t="shared" si="705"/>
        <v>0</v>
      </c>
      <c r="AL4161" s="5">
        <f t="shared" si="706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98"/>
        <v>31.51</v>
      </c>
      <c r="V4162" s="2">
        <f t="shared" si="699"/>
        <v>168.51</v>
      </c>
      <c r="W4162" s="2">
        <f>T4162*40%</f>
        <v>54.800000000000004</v>
      </c>
      <c r="X4162" s="5">
        <f t="shared" si="702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707"/>
        <v>0</v>
      </c>
      <c r="AK4162" s="2">
        <f t="shared" si="705"/>
        <v>82.199999999999989</v>
      </c>
      <c r="AL4162" s="5">
        <f t="shared" si="706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3101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98"/>
        <v>18.975000000000001</v>
      </c>
      <c r="V4163" s="2">
        <f t="shared" si="699"/>
        <v>101.47499999999999</v>
      </c>
      <c r="W4163" s="2">
        <f>T4163*50%</f>
        <v>41.25</v>
      </c>
      <c r="X4163" s="5">
        <f t="shared" si="702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707"/>
        <v>0</v>
      </c>
      <c r="AK4163" s="2">
        <f t="shared" si="705"/>
        <v>41.25</v>
      </c>
      <c r="AL4163" s="5">
        <f t="shared" si="706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98"/>
        <v>62.1</v>
      </c>
      <c r="V4164" s="10">
        <f t="shared" si="699"/>
        <v>332.1</v>
      </c>
      <c r="W4164" s="2">
        <v>139.46</v>
      </c>
      <c r="X4164" s="5">
        <f t="shared" si="702"/>
        <v>0.48348148148148146</v>
      </c>
      <c r="Z4164" s="2" t="s">
        <v>3226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707"/>
        <v>0</v>
      </c>
      <c r="AK4164" s="2">
        <f t="shared" si="705"/>
        <v>130.54</v>
      </c>
      <c r="AL4164" s="5">
        <f t="shared" si="706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98"/>
        <v>0.34040000000000004</v>
      </c>
      <c r="V4165" s="10">
        <f t="shared" si="699"/>
        <v>1.8204</v>
      </c>
      <c r="W4165" s="2">
        <f>1.48*S4165</f>
        <v>1.48</v>
      </c>
      <c r="X4165" s="5">
        <f t="shared" si="702"/>
        <v>0</v>
      </c>
      <c r="Z4165" s="2" t="s">
        <v>3226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707"/>
        <v>0</v>
      </c>
      <c r="AK4165" s="2">
        <f t="shared" si="705"/>
        <v>0</v>
      </c>
      <c r="AL4165" s="5">
        <f t="shared" si="706"/>
        <v>0</v>
      </c>
    </row>
    <row r="4166" spans="1:38" x14ac:dyDescent="0.2">
      <c r="A4166" s="8">
        <v>2026</v>
      </c>
      <c r="B4166" s="8">
        <v>6</v>
      </c>
      <c r="C4166" s="8" t="s">
        <v>3391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98"/>
        <v>30.985600000000002</v>
      </c>
      <c r="V4166" s="10">
        <f t="shared" si="699"/>
        <v>165.7056</v>
      </c>
      <c r="W4166" s="2">
        <f>36.2258*S4166</f>
        <v>72.451599999999999</v>
      </c>
      <c r="X4166" s="5">
        <f t="shared" si="702"/>
        <v>0.46220605700712591</v>
      </c>
      <c r="Z4166" s="2" t="s">
        <v>117</v>
      </c>
      <c r="AA4166" s="2" t="s">
        <v>118</v>
      </c>
      <c r="AB4166" s="2" t="s">
        <v>119</v>
      </c>
      <c r="AC4166" s="2" t="s">
        <v>114</v>
      </c>
      <c r="AI4166" s="2"/>
      <c r="AK4166" s="2">
        <f t="shared" si="705"/>
        <v>62.2684</v>
      </c>
      <c r="AL4166" s="5">
        <f t="shared" si="706"/>
        <v>0.46220605700712591</v>
      </c>
    </row>
    <row r="4167" spans="1:38" x14ac:dyDescent="0.2">
      <c r="A4167" s="8">
        <v>2026</v>
      </c>
      <c r="B4167" s="8">
        <v>6</v>
      </c>
      <c r="C4167" s="8" t="s">
        <v>3322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98"/>
        <v>138.345</v>
      </c>
      <c r="V4167" s="2">
        <f t="shared" si="699"/>
        <v>739.84500000000003</v>
      </c>
      <c r="W4167" s="2">
        <f>T4167*40%</f>
        <v>240.60000000000002</v>
      </c>
      <c r="X4167" s="5">
        <f t="shared" si="702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705"/>
        <v>360.9</v>
      </c>
      <c r="AL4167" s="5">
        <f t="shared" si="706"/>
        <v>0.6</v>
      </c>
    </row>
    <row r="4168" spans="1:38" x14ac:dyDescent="0.2">
      <c r="A4168" s="8">
        <v>2026</v>
      </c>
      <c r="B4168" s="8">
        <v>6</v>
      </c>
      <c r="C4168" s="8" t="s">
        <v>3322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98"/>
        <v>85.387500000000003</v>
      </c>
      <c r="V4168" s="2">
        <f t="shared" si="699"/>
        <v>456.63749999999999</v>
      </c>
      <c r="W4168" s="2">
        <f>T4168*50%</f>
        <v>185.625</v>
      </c>
      <c r="X4168" s="5">
        <f t="shared" si="702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705"/>
        <v>185.625</v>
      </c>
      <c r="AL4168" s="5">
        <f t="shared" si="706"/>
        <v>0.5</v>
      </c>
    </row>
    <row r="4169" spans="1:38" x14ac:dyDescent="0.2">
      <c r="A4169" s="8">
        <v>2026</v>
      </c>
      <c r="B4169" s="8">
        <v>6</v>
      </c>
      <c r="C4169" s="8" t="s">
        <v>3293</v>
      </c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98"/>
        <v>6.21</v>
      </c>
      <c r="V4169" s="10">
        <f t="shared" si="699"/>
        <v>33.21</v>
      </c>
      <c r="X4169" s="5">
        <f t="shared" si="702"/>
        <v>1</v>
      </c>
      <c r="Z4169" s="2" t="s">
        <v>119</v>
      </c>
      <c r="AA4169" s="2" t="s">
        <v>3379</v>
      </c>
      <c r="AI4169" s="2"/>
      <c r="AK4169" s="2">
        <f t="shared" si="705"/>
        <v>27</v>
      </c>
      <c r="AL4169" s="5">
        <f t="shared" si="706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98"/>
        <v>44.160000000000004</v>
      </c>
      <c r="V4170" s="10">
        <f t="shared" si="699"/>
        <v>236.16</v>
      </c>
      <c r="W4170" s="2">
        <f>14.5099*S4170</f>
        <v>116.0792</v>
      </c>
      <c r="X4170" s="5">
        <f t="shared" si="702"/>
        <v>0.39542083333333333</v>
      </c>
      <c r="Z4170" s="2" t="s">
        <v>3226</v>
      </c>
      <c r="AA4170" s="2" t="s">
        <v>46</v>
      </c>
      <c r="AB4170" s="2" t="s">
        <v>60</v>
      </c>
      <c r="AC4170" s="2" t="s">
        <v>3331</v>
      </c>
      <c r="AI4170" s="2"/>
      <c r="AK4170" s="2">
        <f t="shared" si="705"/>
        <v>75.9208</v>
      </c>
      <c r="AL4170" s="5">
        <f t="shared" si="706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98"/>
        <v>16.100000000000001</v>
      </c>
      <c r="V4171" s="10">
        <f t="shared" si="699"/>
        <v>86.1</v>
      </c>
      <c r="W4171" s="2">
        <f>0.0914*S4171</f>
        <v>45.699999999999996</v>
      </c>
      <c r="X4171" s="5">
        <f t="shared" si="702"/>
        <v>0.3471428571428572</v>
      </c>
      <c r="Z4171" s="2" t="s">
        <v>3226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705"/>
        <v>24.300000000000004</v>
      </c>
      <c r="AL4171" s="5">
        <f t="shared" si="706"/>
        <v>0.3471428571428572</v>
      </c>
    </row>
    <row r="4172" spans="1:38" x14ac:dyDescent="0.2">
      <c r="A4172" s="8">
        <v>2026</v>
      </c>
      <c r="B4172" s="8">
        <v>6</v>
      </c>
      <c r="C4172" s="8" t="s">
        <v>3377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98"/>
        <v>46</v>
      </c>
      <c r="V4172" s="10">
        <f t="shared" si="699"/>
        <v>246</v>
      </c>
      <c r="W4172" s="2">
        <v>120.636</v>
      </c>
      <c r="X4172" s="5">
        <f t="shared" si="702"/>
        <v>0.39682000000000001</v>
      </c>
      <c r="Z4172" s="2" t="s">
        <v>3226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705"/>
        <v>79.364000000000004</v>
      </c>
      <c r="AL4172" s="5">
        <f t="shared" si="706"/>
        <v>0.39682000000000001</v>
      </c>
    </row>
    <row r="4173" spans="1:38" x14ac:dyDescent="0.2">
      <c r="A4173" s="8">
        <v>2026</v>
      </c>
      <c r="B4173" s="8">
        <v>6</v>
      </c>
      <c r="C4173" s="8" t="s">
        <v>3377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708">T4173*23%</f>
        <v>6.9</v>
      </c>
      <c r="V4173" s="10">
        <f t="shared" ref="V4173:V4174" si="709">T4173+U4173</f>
        <v>36.9</v>
      </c>
      <c r="W4173" s="2">
        <v>0</v>
      </c>
      <c r="X4173" s="5">
        <f t="shared" si="702"/>
        <v>1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 t="s">
        <v>3377</v>
      </c>
      <c r="D4174" s="2" t="s">
        <v>2143</v>
      </c>
      <c r="E4174" s="2" t="s">
        <v>108</v>
      </c>
      <c r="F4174" s="2" t="s">
        <v>39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708"/>
        <v>0.34040000000000004</v>
      </c>
      <c r="V4174" s="10">
        <f t="shared" si="709"/>
        <v>1.8204</v>
      </c>
      <c r="W4174" s="2">
        <f>1.48*S4174</f>
        <v>1.48</v>
      </c>
      <c r="X4174" s="5">
        <f t="shared" si="702"/>
        <v>0</v>
      </c>
      <c r="Z4174" s="2" t="s">
        <v>3226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4" si="710">T4174-W4174</f>
        <v>0</v>
      </c>
      <c r="AL4174" s="5">
        <f t="shared" ref="AL4174:AL4190" si="711">(T4174-W4174)/T4174</f>
        <v>0</v>
      </c>
    </row>
    <row r="4175" spans="1:38" x14ac:dyDescent="0.2">
      <c r="A4175" s="8">
        <v>2026</v>
      </c>
      <c r="B4175" s="8">
        <v>6</v>
      </c>
      <c r="C4175" s="8" t="s">
        <v>3293</v>
      </c>
      <c r="D4175" s="2" t="s">
        <v>3397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3228</v>
      </c>
      <c r="P4175" s="2" t="s">
        <v>1194</v>
      </c>
      <c r="Q4175" s="2" t="s">
        <v>3058</v>
      </c>
      <c r="R4175" s="2" t="s">
        <v>3059</v>
      </c>
      <c r="S4175" s="9">
        <v>1</v>
      </c>
      <c r="T4175" s="10">
        <v>5990</v>
      </c>
      <c r="U4175" s="2">
        <f t="shared" si="708"/>
        <v>1377.7</v>
      </c>
      <c r="V4175" s="10">
        <f>U4175+T4175</f>
        <v>7367.7</v>
      </c>
      <c r="W4175" s="2">
        <v>4214</v>
      </c>
      <c r="X4175" s="5">
        <f t="shared" si="702"/>
        <v>0.29649415692821368</v>
      </c>
      <c r="Z4175" s="2" t="s">
        <v>104</v>
      </c>
      <c r="AA4175" s="2" t="s">
        <v>2746</v>
      </c>
      <c r="AB4175" s="2" t="s">
        <v>3396</v>
      </c>
      <c r="AC4175" s="2" t="s">
        <v>1194</v>
      </c>
      <c r="AI4175" s="2"/>
      <c r="AK4175" s="2">
        <f t="shared" si="710"/>
        <v>1776</v>
      </c>
      <c r="AL4175" s="5">
        <f t="shared" si="711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708"/>
        <v>13.8</v>
      </c>
      <c r="V4176" s="2">
        <f t="shared" ref="V4176:V4207" si="712">T4176+U4176</f>
        <v>73.8</v>
      </c>
      <c r="W4176" s="2">
        <f>T4176*40%</f>
        <v>24</v>
      </c>
      <c r="X4176" s="5">
        <f t="shared" si="702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710"/>
        <v>36</v>
      </c>
      <c r="AL4176" s="5">
        <f t="shared" si="711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708"/>
        <v>25.3</v>
      </c>
      <c r="V4177" s="2">
        <f t="shared" si="712"/>
        <v>135.30000000000001</v>
      </c>
      <c r="W4177" s="2">
        <f>T4177*50%</f>
        <v>55</v>
      </c>
      <c r="X4177" s="5">
        <f t="shared" si="702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710"/>
        <v>55</v>
      </c>
      <c r="AL4177" s="5">
        <f t="shared" si="711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708"/>
        <v>21.16</v>
      </c>
      <c r="V4178" s="2">
        <f t="shared" si="712"/>
        <v>113.16</v>
      </c>
      <c r="W4178" s="2">
        <f>T4178*40%</f>
        <v>36.800000000000004</v>
      </c>
      <c r="X4178" s="5">
        <f t="shared" si="702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710"/>
        <v>55.199999999999996</v>
      </c>
      <c r="AL4178" s="5">
        <f t="shared" si="711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708"/>
        <v>12.65</v>
      </c>
      <c r="V4179" s="2">
        <f t="shared" si="712"/>
        <v>67.650000000000006</v>
      </c>
      <c r="W4179" s="2">
        <f>T4179*50%</f>
        <v>27.5</v>
      </c>
      <c r="X4179" s="5">
        <f t="shared" si="702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710"/>
        <v>27.5</v>
      </c>
      <c r="AL4179" s="5">
        <f t="shared" si="711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3111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708"/>
        <v>22.983900000000002</v>
      </c>
      <c r="V4180" s="10">
        <f t="shared" si="712"/>
        <v>122.91390000000001</v>
      </c>
      <c r="X4180" s="5">
        <f t="shared" si="702"/>
        <v>1</v>
      </c>
      <c r="AI4180" s="2"/>
      <c r="AK4180" s="2">
        <f t="shared" si="710"/>
        <v>99.93</v>
      </c>
      <c r="AL4180" s="5">
        <f t="shared" si="711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708"/>
        <v>23</v>
      </c>
      <c r="V4181" s="10">
        <f t="shared" si="712"/>
        <v>123</v>
      </c>
      <c r="W4181" s="2">
        <f>14.5099*S4181</f>
        <v>58.0396</v>
      </c>
      <c r="X4181" s="5">
        <f t="shared" si="702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3331</v>
      </c>
      <c r="AI4181" s="2"/>
      <c r="AK4181" s="2">
        <f t="shared" si="710"/>
        <v>41.9604</v>
      </c>
      <c r="AL4181" s="5">
        <f t="shared" si="711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708"/>
        <v>23</v>
      </c>
      <c r="V4182" s="10">
        <f t="shared" si="712"/>
        <v>123</v>
      </c>
      <c r="W4182" s="2">
        <f>14.5099*S4182</f>
        <v>58.0396</v>
      </c>
      <c r="X4182" s="5">
        <f t="shared" si="702"/>
        <v>0.41960399999999998</v>
      </c>
      <c r="Z4182" s="2" t="s">
        <v>3226</v>
      </c>
      <c r="AA4182" s="2" t="s">
        <v>46</v>
      </c>
      <c r="AB4182" s="2" t="s">
        <v>60</v>
      </c>
      <c r="AC4182" s="2" t="s">
        <v>3331</v>
      </c>
      <c r="AI4182" s="2"/>
      <c r="AK4182" s="2">
        <f t="shared" si="710"/>
        <v>41.9604</v>
      </c>
      <c r="AL4182" s="5">
        <f t="shared" si="711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708"/>
        <v>156.14930000000001</v>
      </c>
      <c r="V4183" s="10">
        <f t="shared" si="712"/>
        <v>835.05930000000001</v>
      </c>
      <c r="X4183" s="5">
        <f t="shared" si="702"/>
        <v>1</v>
      </c>
      <c r="Z4183" s="2" t="s">
        <v>119</v>
      </c>
      <c r="AA4183" s="2" t="s">
        <v>492</v>
      </c>
      <c r="AI4183" s="2"/>
      <c r="AK4183" s="2">
        <f t="shared" si="710"/>
        <v>678.91</v>
      </c>
      <c r="AL4183" s="5">
        <f t="shared" si="711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708"/>
        <v>13.8</v>
      </c>
      <c r="V4184" s="2">
        <f t="shared" si="712"/>
        <v>73.8</v>
      </c>
      <c r="W4184" s="2">
        <f>T4184*40%</f>
        <v>24</v>
      </c>
      <c r="X4184" s="5">
        <f t="shared" si="702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710"/>
        <v>36</v>
      </c>
      <c r="AL4184" s="5">
        <f t="shared" si="711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3112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708"/>
        <v>50.6</v>
      </c>
      <c r="V4185" s="2">
        <f t="shared" si="712"/>
        <v>270.60000000000002</v>
      </c>
      <c r="W4185" s="2">
        <f>T4185*50%</f>
        <v>110</v>
      </c>
      <c r="X4185" s="5">
        <f t="shared" si="702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710"/>
        <v>110</v>
      </c>
      <c r="AL4185" s="5">
        <f t="shared" si="711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708"/>
        <v>12.42</v>
      </c>
      <c r="V4186" s="10">
        <f t="shared" si="712"/>
        <v>66.42</v>
      </c>
      <c r="W4186" s="2">
        <f>10.6*S4186</f>
        <v>31.799999999999997</v>
      </c>
      <c r="X4186" s="5">
        <f t="shared" si="702"/>
        <v>0.41111111111111115</v>
      </c>
      <c r="Z4186" s="2" t="s">
        <v>3226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710"/>
        <v>22.200000000000003</v>
      </c>
      <c r="AL4186" s="5">
        <f t="shared" si="711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3216</v>
      </c>
      <c r="J4187" s="2" t="s">
        <v>3215</v>
      </c>
      <c r="K4187" s="2">
        <v>913814877</v>
      </c>
      <c r="L4187" s="2" t="s">
        <v>201</v>
      </c>
      <c r="M4187" s="2" t="s">
        <v>80</v>
      </c>
      <c r="O4187" s="2" t="s">
        <v>3214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708"/>
        <v>1.84</v>
      </c>
      <c r="V4187" s="10">
        <f t="shared" si="712"/>
        <v>9.84</v>
      </c>
      <c r="W4187" s="2">
        <v>6</v>
      </c>
      <c r="X4187" s="5">
        <f t="shared" si="702"/>
        <v>0.25</v>
      </c>
      <c r="Z4187" s="2" t="s">
        <v>169</v>
      </c>
      <c r="AA4187" s="2" t="s">
        <v>169</v>
      </c>
      <c r="AI4187" s="2"/>
      <c r="AK4187" s="2">
        <f t="shared" si="710"/>
        <v>2</v>
      </c>
      <c r="AL4187" s="5">
        <f t="shared" si="711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708"/>
        <v>23</v>
      </c>
      <c r="V4188" s="10">
        <f t="shared" si="712"/>
        <v>123</v>
      </c>
      <c r="W4188" s="2">
        <f>W3923*S4188</f>
        <v>71.56</v>
      </c>
      <c r="X4188" s="5">
        <f t="shared" si="702"/>
        <v>0.28439999999999999</v>
      </c>
      <c r="Z4188" s="2" t="s">
        <v>3226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710"/>
        <v>28.439999999999998</v>
      </c>
      <c r="AL4188" s="5">
        <f t="shared" si="711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708"/>
        <v>1.84</v>
      </c>
      <c r="V4189" s="10">
        <f t="shared" si="712"/>
        <v>9.84</v>
      </c>
      <c r="W4189" s="2">
        <v>6</v>
      </c>
      <c r="X4189" s="5">
        <f t="shared" si="702"/>
        <v>0.25</v>
      </c>
      <c r="Z4189" s="2" t="s">
        <v>169</v>
      </c>
      <c r="AA4189" s="2" t="s">
        <v>169</v>
      </c>
      <c r="AI4189" s="2"/>
      <c r="AK4189" s="2">
        <f t="shared" si="710"/>
        <v>2</v>
      </c>
      <c r="AL4189" s="5">
        <f t="shared" si="711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708"/>
        <v>-43.221600000000002</v>
      </c>
      <c r="V4190" s="10">
        <f t="shared" si="712"/>
        <v>-231.14159999999998</v>
      </c>
      <c r="W4190" s="2">
        <f>92.63+1.2</f>
        <v>93.83</v>
      </c>
      <c r="X4190" s="18">
        <f t="shared" ref="X4190:X4191" si="713">SIGN(T4190)*((ABS(T4190)-W4190)/ABS(T4190))</f>
        <v>-0.50069178373776069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10"/>
        <v>-281.75</v>
      </c>
      <c r="AL4190" s="18">
        <f t="shared" ref="AL4190:AL4194" si="714">SIGN(T4190)*((ABS(T4190)-W4190)/ABS(T4190))</f>
        <v>-0.50069178373776069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114</v>
      </c>
      <c r="Q4191" s="2" t="s">
        <v>795</v>
      </c>
      <c r="R4191" s="2" t="s">
        <v>2984</v>
      </c>
      <c r="S4191" s="9">
        <v>-1</v>
      </c>
      <c r="T4191" s="10">
        <v>-28.38</v>
      </c>
      <c r="U4191" s="2">
        <f t="shared" si="708"/>
        <v>-6.5274000000000001</v>
      </c>
      <c r="V4191" s="10">
        <f t="shared" si="712"/>
        <v>-34.907399999999996</v>
      </c>
      <c r="W4191" s="2">
        <f>13.715</f>
        <v>13.715</v>
      </c>
      <c r="X4191" s="18">
        <f t="shared" si="713"/>
        <v>-0.51673713883016203</v>
      </c>
      <c r="Z4191" s="2" t="s">
        <v>117</v>
      </c>
      <c r="AA4191" s="2" t="s">
        <v>118</v>
      </c>
      <c r="AB4191" s="2" t="s">
        <v>119</v>
      </c>
      <c r="AC4191" s="2" t="s">
        <v>114</v>
      </c>
      <c r="AI4191" s="2"/>
      <c r="AK4191" s="2">
        <f t="shared" si="710"/>
        <v>-42.094999999999999</v>
      </c>
      <c r="AL4191" s="18">
        <f t="shared" si="714"/>
        <v>-0.51673713883016203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708"/>
        <v>-21.62</v>
      </c>
      <c r="V4192" s="2">
        <f t="shared" si="712"/>
        <v>-115.62</v>
      </c>
      <c r="W4192" s="2">
        <f>94*40%</f>
        <v>37.6</v>
      </c>
      <c r="X4192" s="18">
        <f t="shared" ref="X4192:X4193" si="715">SIGN(T4192)*((ABS(T4192)-W4192)/ABS(T4192))</f>
        <v>-0.6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37.6</v>
      </c>
      <c r="AI4192" s="2"/>
      <c r="AJ4192" s="2">
        <f>AI4192*T4192</f>
        <v>0</v>
      </c>
      <c r="AK4192" s="2">
        <f t="shared" si="710"/>
        <v>-131.6</v>
      </c>
      <c r="AL4192" s="18">
        <f t="shared" si="714"/>
        <v>-0.6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708"/>
        <v>-12.65</v>
      </c>
      <c r="V4193" s="2">
        <f t="shared" si="712"/>
        <v>-67.650000000000006</v>
      </c>
      <c r="W4193" s="2">
        <f>55*50%</f>
        <v>27.5</v>
      </c>
      <c r="X4193" s="18">
        <f t="shared" si="715"/>
        <v>-0.5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27.5</v>
      </c>
      <c r="AI4193" s="2"/>
      <c r="AJ4193" s="2">
        <f>AI4193*T4193</f>
        <v>0</v>
      </c>
      <c r="AK4193" s="2">
        <f t="shared" si="710"/>
        <v>-82.5</v>
      </c>
      <c r="AL4193" s="18">
        <f t="shared" si="714"/>
        <v>-0.5</v>
      </c>
    </row>
    <row r="4194" spans="1:38" x14ac:dyDescent="0.2">
      <c r="A4194" s="8">
        <v>2026</v>
      </c>
      <c r="B4194" s="8">
        <v>6</v>
      </c>
      <c r="C4194" s="8"/>
      <c r="D4194" s="2" t="s">
        <v>2981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2982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708"/>
        <v>-20.125</v>
      </c>
      <c r="V4194" s="10">
        <f t="shared" si="712"/>
        <v>-107.625</v>
      </c>
      <c r="X4194" s="2"/>
      <c r="AI4194" s="2"/>
      <c r="AK4194" s="2">
        <f t="shared" si="710"/>
        <v>-87.5</v>
      </c>
      <c r="AL4194" s="18"/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708"/>
        <v>11.040000000000001</v>
      </c>
      <c r="V4195" s="10">
        <f t="shared" si="712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3226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708"/>
        <v>50.6</v>
      </c>
      <c r="V4196" s="10">
        <f t="shared" si="712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3226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708"/>
        <v>0.34040000000000004</v>
      </c>
      <c r="V4197" s="10">
        <f t="shared" si="712"/>
        <v>1.8204</v>
      </c>
      <c r="W4197" s="2">
        <f>1.48*S4197</f>
        <v>1.48</v>
      </c>
      <c r="X4197" s="5">
        <f>(T4197-W4197)/T4197</f>
        <v>0</v>
      </c>
      <c r="Z4197" s="2" t="s">
        <v>3226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3330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708"/>
        <v>-73.160699999999991</v>
      </c>
      <c r="V4198" s="10">
        <f t="shared" si="712"/>
        <v>-391.25069999999994</v>
      </c>
      <c r="X4198" s="18"/>
      <c r="Z4198" s="2" t="s">
        <v>119</v>
      </c>
      <c r="AA4198" s="2" t="s">
        <v>142</v>
      </c>
      <c r="AI4198" s="2"/>
      <c r="AK4198" s="2">
        <f t="shared" ref="AK4198" si="716">T4198-W4198</f>
        <v>-318.08999999999997</v>
      </c>
      <c r="AL4198" s="18"/>
    </row>
    <row r="4199" spans="1:38" x14ac:dyDescent="0.2">
      <c r="A4199" s="8">
        <v>2026</v>
      </c>
      <c r="B4199" s="8">
        <v>6</v>
      </c>
      <c r="C4199" s="8" t="s">
        <v>3330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708"/>
        <v>15.019</v>
      </c>
      <c r="V4199" s="10">
        <f t="shared" si="712"/>
        <v>80.319000000000003</v>
      </c>
      <c r="X4199" s="5">
        <f t="shared" ref="X4199:X4204" si="717">(T4199-W4199)/T4199</f>
        <v>1</v>
      </c>
      <c r="Z4199" s="2" t="s">
        <v>119</v>
      </c>
      <c r="AA4199" s="2" t="s">
        <v>3379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3109</v>
      </c>
      <c r="P4200" s="2" t="s">
        <v>40</v>
      </c>
      <c r="Q4200" s="2" t="s">
        <v>3060</v>
      </c>
      <c r="R4200" s="2" t="s">
        <v>3061</v>
      </c>
      <c r="S4200" s="9">
        <v>11601</v>
      </c>
      <c r="T4200" s="10">
        <v>2098.09</v>
      </c>
      <c r="U4200" s="2">
        <f t="shared" si="708"/>
        <v>482.56070000000005</v>
      </c>
      <c r="V4200" s="10">
        <f t="shared" si="712"/>
        <v>2580.6507000000001</v>
      </c>
      <c r="X4200" s="5">
        <f t="shared" si="717"/>
        <v>1</v>
      </c>
      <c r="Z4200" s="2" t="s">
        <v>119</v>
      </c>
      <c r="AA4200" s="2" t="s">
        <v>3291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3143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708"/>
        <v>42.398200000000003</v>
      </c>
      <c r="V4201" s="10">
        <f t="shared" si="712"/>
        <v>226.73820000000001</v>
      </c>
      <c r="W4201" s="2">
        <v>69.67</v>
      </c>
      <c r="X4201" s="5">
        <f t="shared" si="717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3144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708"/>
        <v>5.98</v>
      </c>
      <c r="V4202" s="10">
        <f t="shared" si="712"/>
        <v>31.98</v>
      </c>
      <c r="W4202" s="2">
        <f>6.6267*S4202</f>
        <v>13.253399999999999</v>
      </c>
      <c r="X4202" s="5">
        <f t="shared" si="717"/>
        <v>0.49025384615384621</v>
      </c>
      <c r="Z4202" s="2" t="s">
        <v>3226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718">AI4202*T4202</f>
        <v>0</v>
      </c>
      <c r="AK4202" s="2">
        <f t="shared" ref="AK4202:AK4229" si="719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3062</v>
      </c>
      <c r="R4203" s="2" t="s">
        <v>3063</v>
      </c>
      <c r="S4203" s="9">
        <v>6</v>
      </c>
      <c r="T4203" s="10">
        <v>8.82</v>
      </c>
      <c r="U4203" s="2">
        <f t="shared" si="708"/>
        <v>2.0286</v>
      </c>
      <c r="V4203" s="10">
        <f t="shared" si="712"/>
        <v>10.848600000000001</v>
      </c>
      <c r="W4203" s="2">
        <f>1.32*S4203</f>
        <v>7.92</v>
      </c>
      <c r="X4203" s="5">
        <f t="shared" si="717"/>
        <v>0.10204081632653066</v>
      </c>
      <c r="Z4203" s="2" t="s">
        <v>3226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718"/>
        <v>0</v>
      </c>
      <c r="AK4203" s="2">
        <f t="shared" si="719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41</v>
      </c>
      <c r="O4204" s="2" t="s">
        <v>3142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708"/>
        <v>3.3809999999999998</v>
      </c>
      <c r="V4204" s="10">
        <f t="shared" si="712"/>
        <v>18.081</v>
      </c>
      <c r="W4204" s="2">
        <f>1.7*S4204</f>
        <v>10.199999999999999</v>
      </c>
      <c r="X4204" s="5">
        <f t="shared" si="717"/>
        <v>0.30612244897959184</v>
      </c>
      <c r="Z4204" s="2" t="s">
        <v>3226</v>
      </c>
      <c r="AA4204" s="2" t="s">
        <v>46</v>
      </c>
      <c r="AB4204" s="2" t="s">
        <v>90</v>
      </c>
      <c r="AC4204" s="2" t="s">
        <v>166</v>
      </c>
      <c r="AF4204" s="2">
        <f>AJ4204</f>
        <v>0</v>
      </c>
      <c r="AI4204" s="2"/>
      <c r="AJ4204" s="2">
        <f t="shared" si="718"/>
        <v>0</v>
      </c>
      <c r="AK4204" s="2">
        <f t="shared" si="719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720">T4205*23%</f>
        <v>0</v>
      </c>
      <c r="V4205" s="2">
        <f t="shared" si="712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718"/>
        <v>0</v>
      </c>
      <c r="AK4205" s="2">
        <f t="shared" si="719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3133</v>
      </c>
      <c r="L4206" s="2" t="s">
        <v>177</v>
      </c>
      <c r="M4206" s="2" t="s">
        <v>40</v>
      </c>
      <c r="O4206" s="2" t="s">
        <v>3143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720"/>
        <v>12.65</v>
      </c>
      <c r="V4206" s="2">
        <f t="shared" si="712"/>
        <v>67.650000000000006</v>
      </c>
      <c r="W4206" s="2">
        <f>T4206*50%</f>
        <v>27.5</v>
      </c>
      <c r="X4206" s="5">
        <f t="shared" ref="X4206:X4228" si="721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718"/>
        <v>0</v>
      </c>
      <c r="AK4206" s="2">
        <f t="shared" si="719"/>
        <v>27.5</v>
      </c>
      <c r="AL4206" s="5">
        <f t="shared" ref="AL4206:AL4228" si="722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720"/>
        <v>28.75</v>
      </c>
      <c r="V4207" s="2">
        <f t="shared" si="712"/>
        <v>153.75</v>
      </c>
      <c r="W4207" s="2">
        <f>T4207*40%</f>
        <v>50</v>
      </c>
      <c r="X4207" s="5">
        <f t="shared" si="721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718"/>
        <v>0</v>
      </c>
      <c r="AK4207" s="2">
        <f t="shared" si="719"/>
        <v>75</v>
      </c>
      <c r="AL4207" s="5">
        <f t="shared" si="722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3110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720"/>
        <v>12.65</v>
      </c>
      <c r="V4208" s="2">
        <f t="shared" ref="V4208:V4235" si="723">T4208+U4208</f>
        <v>67.650000000000006</v>
      </c>
      <c r="W4208" s="2">
        <f>T4208*50%</f>
        <v>27.5</v>
      </c>
      <c r="X4208" s="5">
        <f t="shared" si="721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718"/>
        <v>0</v>
      </c>
      <c r="AK4208" s="2">
        <f t="shared" si="719"/>
        <v>27.5</v>
      </c>
      <c r="AL4208" s="5">
        <f t="shared" si="722"/>
        <v>0.5</v>
      </c>
    </row>
    <row r="4209" spans="1:38" x14ac:dyDescent="0.2">
      <c r="A4209" s="8">
        <v>2026</v>
      </c>
      <c r="B4209" s="8">
        <v>6</v>
      </c>
      <c r="C4209" s="8" t="s">
        <v>3391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720"/>
        <v>1.5870000000000002</v>
      </c>
      <c r="V4209" s="2">
        <f t="shared" si="723"/>
        <v>8.4870000000000001</v>
      </c>
      <c r="W4209" s="2">
        <f>5.135*S4209</f>
        <v>5.1349999999999998</v>
      </c>
      <c r="X4209" s="5">
        <f t="shared" si="721"/>
        <v>0.25579710144927542</v>
      </c>
      <c r="Z4209" s="2" t="s">
        <v>3226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719"/>
        <v>1.7650000000000006</v>
      </c>
      <c r="AL4209" s="5">
        <f t="shared" si="722"/>
        <v>0.25579710144927542</v>
      </c>
    </row>
    <row r="4210" spans="1:38" x14ac:dyDescent="0.2">
      <c r="A4210" s="8">
        <v>2026</v>
      </c>
      <c r="B4210" s="8">
        <v>6</v>
      </c>
      <c r="C4210" s="8" t="s">
        <v>3391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3064</v>
      </c>
      <c r="R4210" s="2" t="s">
        <v>3065</v>
      </c>
      <c r="S4210" s="9">
        <v>1</v>
      </c>
      <c r="T4210" s="10">
        <v>7.24</v>
      </c>
      <c r="U4210" s="2">
        <f t="shared" si="720"/>
        <v>1.6652</v>
      </c>
      <c r="V4210" s="2">
        <f t="shared" si="723"/>
        <v>8.9052000000000007</v>
      </c>
      <c r="W4210" s="2">
        <v>5.07</v>
      </c>
      <c r="X4210" s="5">
        <f t="shared" si="721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19"/>
        <v>2.17</v>
      </c>
      <c r="AL4210" s="5">
        <f t="shared" si="722"/>
        <v>0.29972375690607733</v>
      </c>
    </row>
    <row r="4211" spans="1:38" x14ac:dyDescent="0.2">
      <c r="A4211" s="8">
        <v>2026</v>
      </c>
      <c r="B4211" s="8">
        <v>6</v>
      </c>
      <c r="C4211" s="8" t="s">
        <v>3391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3066</v>
      </c>
      <c r="R4211" s="2" t="s">
        <v>3067</v>
      </c>
      <c r="S4211" s="9">
        <v>1</v>
      </c>
      <c r="T4211" s="10">
        <v>7.24</v>
      </c>
      <c r="U4211" s="2">
        <f t="shared" si="720"/>
        <v>1.6652</v>
      </c>
      <c r="V4211" s="2">
        <f t="shared" si="723"/>
        <v>8.9052000000000007</v>
      </c>
      <c r="W4211" s="2">
        <v>5.07</v>
      </c>
      <c r="X4211" s="5">
        <f t="shared" si="721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19"/>
        <v>2.17</v>
      </c>
      <c r="AL4211" s="5">
        <f t="shared" si="722"/>
        <v>0.29972375690607733</v>
      </c>
    </row>
    <row r="4212" spans="1:38" x14ac:dyDescent="0.2">
      <c r="A4212" s="8">
        <v>2026</v>
      </c>
      <c r="B4212" s="8">
        <v>6</v>
      </c>
      <c r="C4212" s="8" t="s">
        <v>3391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3068</v>
      </c>
      <c r="R4212" s="2" t="s">
        <v>3069</v>
      </c>
      <c r="S4212" s="9">
        <v>1</v>
      </c>
      <c r="T4212" s="10">
        <v>7.24</v>
      </c>
      <c r="U4212" s="2">
        <f t="shared" si="720"/>
        <v>1.6652</v>
      </c>
      <c r="V4212" s="2">
        <f t="shared" si="723"/>
        <v>8.9052000000000007</v>
      </c>
      <c r="W4212" s="2">
        <f>5.07</f>
        <v>5.07</v>
      </c>
      <c r="X4212" s="5">
        <f t="shared" si="721"/>
        <v>0.29972375690607733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19"/>
        <v>2.17</v>
      </c>
      <c r="AL4212" s="5">
        <f t="shared" si="722"/>
        <v>0.29972375690607733</v>
      </c>
    </row>
    <row r="4213" spans="1:38" x14ac:dyDescent="0.2">
      <c r="A4213" s="8">
        <v>2026</v>
      </c>
      <c r="B4213" s="8">
        <v>6</v>
      </c>
      <c r="C4213" s="8" t="s">
        <v>3391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3070</v>
      </c>
      <c r="R4213" s="2" t="s">
        <v>3071</v>
      </c>
      <c r="S4213" s="9">
        <v>1</v>
      </c>
      <c r="T4213" s="10">
        <v>16.899999999999999</v>
      </c>
      <c r="U4213" s="2">
        <f t="shared" si="720"/>
        <v>3.887</v>
      </c>
      <c r="V4213" s="2">
        <f t="shared" si="723"/>
        <v>20.786999999999999</v>
      </c>
      <c r="W4213" s="2">
        <f>12.68</f>
        <v>12.68</v>
      </c>
      <c r="X4213" s="5">
        <f t="shared" si="721"/>
        <v>0.24970414201183427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19"/>
        <v>4.2199999999999989</v>
      </c>
      <c r="AL4213" s="5">
        <f t="shared" si="722"/>
        <v>0.24970414201183427</v>
      </c>
    </row>
    <row r="4214" spans="1:38" x14ac:dyDescent="0.2">
      <c r="A4214" s="8">
        <v>2026</v>
      </c>
      <c r="B4214" s="8">
        <v>6</v>
      </c>
      <c r="C4214" s="8" t="s">
        <v>3391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3072</v>
      </c>
      <c r="R4214" s="2" t="s">
        <v>3073</v>
      </c>
      <c r="S4214" s="9">
        <v>1</v>
      </c>
      <c r="T4214" s="10">
        <v>19</v>
      </c>
      <c r="U4214" s="2">
        <f t="shared" si="720"/>
        <v>4.37</v>
      </c>
      <c r="V4214" s="2">
        <f t="shared" si="723"/>
        <v>23.37</v>
      </c>
      <c r="W4214" s="2">
        <f>14.25</f>
        <v>14.25</v>
      </c>
      <c r="X4214" s="5">
        <f t="shared" si="721"/>
        <v>0.25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19"/>
        <v>4.75</v>
      </c>
      <c r="AL4214" s="5">
        <f t="shared" si="722"/>
        <v>0.25</v>
      </c>
    </row>
    <row r="4215" spans="1:38" x14ac:dyDescent="0.2">
      <c r="A4215" s="8">
        <v>2026</v>
      </c>
      <c r="B4215" s="8">
        <v>6</v>
      </c>
      <c r="C4215" s="8" t="s">
        <v>3391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3074</v>
      </c>
      <c r="R4215" s="2" t="s">
        <v>3075</v>
      </c>
      <c r="S4215" s="9">
        <v>1</v>
      </c>
      <c r="T4215" s="10">
        <v>43.5</v>
      </c>
      <c r="U4215" s="2">
        <f t="shared" si="720"/>
        <v>10.005000000000001</v>
      </c>
      <c r="V4215" s="2">
        <f t="shared" si="723"/>
        <v>53.505000000000003</v>
      </c>
      <c r="W4215" s="2">
        <f>32.63</f>
        <v>32.630000000000003</v>
      </c>
      <c r="X4215" s="5">
        <f t="shared" si="721"/>
        <v>0.2498850574712643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19"/>
        <v>10.869999999999997</v>
      </c>
      <c r="AL4215" s="5">
        <f t="shared" si="722"/>
        <v>0.2498850574712643</v>
      </c>
    </row>
    <row r="4216" spans="1:38" x14ac:dyDescent="0.2">
      <c r="A4216" s="8">
        <v>2026</v>
      </c>
      <c r="B4216" s="8">
        <v>6</v>
      </c>
      <c r="C4216" s="8" t="s">
        <v>3391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3076</v>
      </c>
      <c r="R4216" s="2" t="s">
        <v>3077</v>
      </c>
      <c r="S4216" s="9">
        <v>1</v>
      </c>
      <c r="T4216" s="10">
        <v>13.6</v>
      </c>
      <c r="U4216" s="2">
        <f t="shared" si="720"/>
        <v>3.1280000000000001</v>
      </c>
      <c r="V4216" s="2">
        <f t="shared" si="723"/>
        <v>16.728000000000002</v>
      </c>
      <c r="W4216" s="2">
        <f>10.2</f>
        <v>10.199999999999999</v>
      </c>
      <c r="X4216" s="5">
        <f t="shared" si="721"/>
        <v>0.25000000000000006</v>
      </c>
      <c r="Z4216" s="2" t="s">
        <v>3226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719"/>
        <v>3.4000000000000004</v>
      </c>
      <c r="AL4216" s="5">
        <f t="shared" si="722"/>
        <v>0.25000000000000006</v>
      </c>
    </row>
    <row r="4217" spans="1:38" x14ac:dyDescent="0.2">
      <c r="A4217" s="8">
        <v>2026</v>
      </c>
      <c r="B4217" s="8">
        <v>6</v>
      </c>
      <c r="C4217" s="8" t="s">
        <v>3293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3078</v>
      </c>
      <c r="R4217" s="2" t="s">
        <v>3079</v>
      </c>
      <c r="S4217" s="9">
        <v>1</v>
      </c>
      <c r="T4217" s="10">
        <v>43</v>
      </c>
      <c r="U4217" s="2">
        <f t="shared" si="720"/>
        <v>9.89</v>
      </c>
      <c r="V4217" s="2">
        <f t="shared" si="723"/>
        <v>52.89</v>
      </c>
      <c r="W4217" s="2">
        <v>35.49</v>
      </c>
      <c r="X4217" s="5">
        <f t="shared" si="721"/>
        <v>0.17465116279069762</v>
      </c>
      <c r="Z4217" s="2" t="s">
        <v>3226</v>
      </c>
      <c r="AA4217" s="2" t="s">
        <v>71</v>
      </c>
      <c r="AB4217" s="2" t="s">
        <v>68</v>
      </c>
      <c r="AC4217" s="2" t="s">
        <v>3435</v>
      </c>
      <c r="AI4217" s="2"/>
      <c r="AK4217" s="2">
        <f t="shared" si="719"/>
        <v>7.509999999999998</v>
      </c>
      <c r="AL4217" s="5">
        <f t="shared" si="722"/>
        <v>0.17465116279069762</v>
      </c>
    </row>
    <row r="4218" spans="1:38" x14ac:dyDescent="0.2">
      <c r="A4218" s="8">
        <v>2026</v>
      </c>
      <c r="B4218" s="8">
        <v>6</v>
      </c>
      <c r="C4218" s="8" t="s">
        <v>3293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3080</v>
      </c>
      <c r="R4218" s="2" t="s">
        <v>3081</v>
      </c>
      <c r="S4218" s="9">
        <v>1</v>
      </c>
      <c r="T4218" s="10">
        <v>198</v>
      </c>
      <c r="U4218" s="2">
        <f t="shared" si="720"/>
        <v>45.54</v>
      </c>
      <c r="V4218" s="2">
        <f t="shared" si="723"/>
        <v>243.54</v>
      </c>
      <c r="W4218" s="2">
        <v>148.5</v>
      </c>
      <c r="X4218" s="5">
        <f t="shared" si="721"/>
        <v>0.25</v>
      </c>
      <c r="Z4218" s="2" t="s">
        <v>3226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719"/>
        <v>49.5</v>
      </c>
      <c r="AL4218" s="5">
        <f t="shared" si="722"/>
        <v>0.25</v>
      </c>
    </row>
    <row r="4219" spans="1:38" x14ac:dyDescent="0.2">
      <c r="A4219" s="8">
        <v>2026</v>
      </c>
      <c r="B4219" s="8">
        <v>6</v>
      </c>
      <c r="C4219" s="8" t="s">
        <v>3293</v>
      </c>
      <c r="D4219" s="2" t="s">
        <v>3108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3082</v>
      </c>
      <c r="R4219" s="2" t="s">
        <v>3083</v>
      </c>
      <c r="S4219" s="9">
        <v>1</v>
      </c>
      <c r="T4219" s="10">
        <v>3000</v>
      </c>
      <c r="U4219" s="2">
        <f t="shared" si="720"/>
        <v>690</v>
      </c>
      <c r="V4219" s="10">
        <f t="shared" si="723"/>
        <v>3690</v>
      </c>
      <c r="W4219" s="2">
        <f>T4219*75%</f>
        <v>2250</v>
      </c>
      <c r="X4219" s="5">
        <f t="shared" si="721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719"/>
        <v>750</v>
      </c>
      <c r="AL4219" s="5">
        <f t="shared" si="722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3084</v>
      </c>
      <c r="R4220" s="2" t="s">
        <v>3085</v>
      </c>
      <c r="S4220" s="9">
        <v>1</v>
      </c>
      <c r="T4220" s="10">
        <v>240</v>
      </c>
      <c r="U4220" s="2">
        <f t="shared" si="720"/>
        <v>55.2</v>
      </c>
      <c r="V4220" s="2">
        <f t="shared" si="723"/>
        <v>295.2</v>
      </c>
      <c r="W4220" s="2">
        <v>128.99</v>
      </c>
      <c r="X4220" s="5">
        <f t="shared" si="721"/>
        <v>0.46254166666666663</v>
      </c>
      <c r="Z4220" s="2" t="s">
        <v>3226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719"/>
        <v>111.00999999999999</v>
      </c>
      <c r="AL4220" s="5">
        <f t="shared" si="722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720"/>
        <v>6.9</v>
      </c>
      <c r="V4221" s="10">
        <f t="shared" si="723"/>
        <v>36.9</v>
      </c>
      <c r="W4221" s="2">
        <v>28</v>
      </c>
      <c r="X4221" s="5">
        <f t="shared" si="721"/>
        <v>6.6666666666666666E-2</v>
      </c>
      <c r="Z4221" s="2" t="s">
        <v>169</v>
      </c>
      <c r="AA4221" s="2" t="s">
        <v>169</v>
      </c>
      <c r="AI4221" s="2"/>
      <c r="AK4221" s="2">
        <f t="shared" si="719"/>
        <v>2</v>
      </c>
      <c r="AL4221" s="5">
        <f t="shared" si="722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720"/>
        <v>0.34040000000000004</v>
      </c>
      <c r="V4222" s="10">
        <f t="shared" si="723"/>
        <v>1.8204</v>
      </c>
      <c r="W4222" s="2">
        <f>1.48*S4222</f>
        <v>1.48</v>
      </c>
      <c r="X4222" s="5">
        <f t="shared" si="721"/>
        <v>0</v>
      </c>
      <c r="Z4222" s="2" t="s">
        <v>3226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719"/>
        <v>0</v>
      </c>
      <c r="AL4222" s="5">
        <f t="shared" si="722"/>
        <v>0</v>
      </c>
    </row>
    <row r="4223" spans="1:38" x14ac:dyDescent="0.2">
      <c r="A4223" s="8">
        <v>2026</v>
      </c>
      <c r="B4223" s="8">
        <v>6</v>
      </c>
      <c r="C4223" s="8" t="s">
        <v>3322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720"/>
        <v>64.094100000000012</v>
      </c>
      <c r="V4223" s="2">
        <f t="shared" si="723"/>
        <v>342.76410000000004</v>
      </c>
      <c r="W4223" s="2">
        <f>134.41</f>
        <v>134.41</v>
      </c>
      <c r="X4223" s="5">
        <f t="shared" si="721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719"/>
        <v>144.26000000000002</v>
      </c>
      <c r="AL4223" s="5">
        <f t="shared" si="722"/>
        <v>0.51767323357376116</v>
      </c>
    </row>
    <row r="4224" spans="1:38" x14ac:dyDescent="0.2">
      <c r="A4224" s="8">
        <v>2026</v>
      </c>
      <c r="B4224" s="8">
        <v>6</v>
      </c>
      <c r="C4224" s="8" t="s">
        <v>3322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720"/>
        <v>33.81</v>
      </c>
      <c r="V4224" s="2">
        <f t="shared" si="723"/>
        <v>180.81</v>
      </c>
      <c r="W4224" s="2">
        <f>T4224*40%</f>
        <v>58.800000000000004</v>
      </c>
      <c r="X4224" s="5">
        <f t="shared" si="721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719"/>
        <v>88.199999999999989</v>
      </c>
      <c r="AL4224" s="5">
        <f t="shared" si="722"/>
        <v>0.6</v>
      </c>
    </row>
    <row r="4225" spans="1:38" x14ac:dyDescent="0.2">
      <c r="A4225" s="8">
        <v>2026</v>
      </c>
      <c r="B4225" s="8">
        <v>6</v>
      </c>
      <c r="C4225" s="8" t="s">
        <v>3322</v>
      </c>
      <c r="D4225" s="2" t="s">
        <v>2049</v>
      </c>
      <c r="E4225" s="2" t="s">
        <v>108</v>
      </c>
      <c r="F4225" s="2" t="s">
        <v>39</v>
      </c>
      <c r="G4225" s="2">
        <v>514960337</v>
      </c>
      <c r="H4225" s="2" t="s">
        <v>290</v>
      </c>
      <c r="I4225" s="2" t="s">
        <v>2779</v>
      </c>
      <c r="J4225" s="2" t="s">
        <v>2820</v>
      </c>
      <c r="K4225" s="2">
        <v>914732950</v>
      </c>
      <c r="L4225" s="2" t="s">
        <v>480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720"/>
        <v>25.3</v>
      </c>
      <c r="V4225" s="2">
        <f t="shared" si="723"/>
        <v>135.30000000000001</v>
      </c>
      <c r="W4225" s="2">
        <f>T4225*50%</f>
        <v>55</v>
      </c>
      <c r="X4225" s="5">
        <f t="shared" si="721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719"/>
        <v>55</v>
      </c>
      <c r="AL4225" s="5">
        <f t="shared" si="722"/>
        <v>0.5</v>
      </c>
    </row>
    <row r="4226" spans="1:38" x14ac:dyDescent="0.2">
      <c r="A4226" s="8">
        <v>2026</v>
      </c>
      <c r="B4226" s="8">
        <v>6</v>
      </c>
      <c r="C4226" s="8" t="s">
        <v>3446</v>
      </c>
      <c r="D4226" s="2" t="s">
        <v>2904</v>
      </c>
      <c r="E4226" s="2" t="s">
        <v>38</v>
      </c>
      <c r="F4226" s="2" t="s">
        <v>3444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720"/>
        <v>13.34</v>
      </c>
      <c r="V4226" s="2">
        <f t="shared" si="723"/>
        <v>71.34</v>
      </c>
      <c r="W4226" s="2">
        <f>14.5099*S4226</f>
        <v>29.0198</v>
      </c>
      <c r="X4226" s="5">
        <f t="shared" si="721"/>
        <v>0.49965862068965516</v>
      </c>
      <c r="Z4226" s="2" t="s">
        <v>3226</v>
      </c>
      <c r="AA4226" s="2" t="s">
        <v>46</v>
      </c>
      <c r="AB4226" s="2" t="s">
        <v>60</v>
      </c>
      <c r="AC4226" s="2" t="s">
        <v>3331</v>
      </c>
      <c r="AI4226" s="2"/>
      <c r="AK4226" s="2">
        <f t="shared" si="719"/>
        <v>28.9802</v>
      </c>
      <c r="AL4226" s="5">
        <f t="shared" si="722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720"/>
        <v>50.572400000000002</v>
      </c>
      <c r="V4227" s="10">
        <f t="shared" si="723"/>
        <v>270.45240000000001</v>
      </c>
      <c r="W4227" s="2">
        <v>125.51600000000001</v>
      </c>
      <c r="X4227" s="5">
        <f t="shared" si="721"/>
        <v>0.429161360742223</v>
      </c>
      <c r="Z4227" s="2" t="s">
        <v>3226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719"/>
        <v>94.36399999999999</v>
      </c>
      <c r="AL4227" s="5">
        <f t="shared" si="722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3155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720"/>
        <v>61.998800000000003</v>
      </c>
      <c r="V4228" s="2">
        <f t="shared" si="723"/>
        <v>331.55880000000002</v>
      </c>
      <c r="W4228" s="2">
        <v>157.85</v>
      </c>
      <c r="X4228" s="5">
        <f t="shared" si="721"/>
        <v>0.4144160854726221</v>
      </c>
      <c r="Z4228" s="2" t="s">
        <v>3226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719"/>
        <v>111.71000000000001</v>
      </c>
      <c r="AL4228" s="5">
        <f t="shared" si="722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720"/>
        <v>-4.7495000000000003</v>
      </c>
      <c r="V4229" s="10">
        <f t="shared" si="723"/>
        <v>-25.3995</v>
      </c>
      <c r="X4229" s="18"/>
      <c r="Z4229" s="2" t="s">
        <v>119</v>
      </c>
      <c r="AA4229" s="2" t="s">
        <v>142</v>
      </c>
      <c r="AI4229" s="2"/>
      <c r="AK4229" s="2">
        <f t="shared" si="719"/>
        <v>-20.65</v>
      </c>
      <c r="AL4229" s="18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720"/>
        <v>0.68080000000000007</v>
      </c>
      <c r="V4230" s="10">
        <f t="shared" si="723"/>
        <v>3.6408</v>
      </c>
      <c r="W4230" s="2">
        <f>1.48*S4230</f>
        <v>2.96</v>
      </c>
      <c r="X4230" s="5">
        <f t="shared" ref="X4230:X4235" si="724">(T4230-W4230)/T4230</f>
        <v>0</v>
      </c>
      <c r="Z4230" s="2" t="s">
        <v>3226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720"/>
        <v>5.3819999999999997</v>
      </c>
      <c r="V4231" s="10">
        <f t="shared" si="723"/>
        <v>28.781999999999996</v>
      </c>
      <c r="W4231" s="2">
        <v>12.4434</v>
      </c>
      <c r="X4231" s="5">
        <f t="shared" si="724"/>
        <v>0.46823076923076917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720"/>
        <v>6.9</v>
      </c>
      <c r="V4232" s="10">
        <f t="shared" si="723"/>
        <v>36.9</v>
      </c>
      <c r="W4232" s="2">
        <f>16*S4232</f>
        <v>16</v>
      </c>
      <c r="X4232" s="5">
        <f t="shared" si="724"/>
        <v>0.46666666666666667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725">T4232-W4232</f>
        <v>14</v>
      </c>
      <c r="AL4232" s="5">
        <f t="shared" ref="AL4232:AL4233" si="726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720"/>
        <v>4.83</v>
      </c>
      <c r="V4233" s="10">
        <f t="shared" si="723"/>
        <v>25.83</v>
      </c>
      <c r="W4233" s="2">
        <f>11.045*S4233</f>
        <v>11.045</v>
      </c>
      <c r="X4233" s="5">
        <f t="shared" si="724"/>
        <v>0.47404761904761905</v>
      </c>
      <c r="Z4233" s="2" t="s">
        <v>3226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725"/>
        <v>9.9550000000000001</v>
      </c>
      <c r="AL4233" s="5">
        <f t="shared" si="726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720"/>
        <v>8.9700000000000006</v>
      </c>
      <c r="V4234" s="10">
        <f t="shared" si="723"/>
        <v>47.97</v>
      </c>
      <c r="W4234" s="2">
        <f>0.082*S4234</f>
        <v>24.6</v>
      </c>
      <c r="X4234" s="5">
        <f t="shared" si="724"/>
        <v>0.3692307692307692</v>
      </c>
      <c r="Z4234" s="2" t="s">
        <v>3226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2966</v>
      </c>
      <c r="R4235" s="2" t="s">
        <v>2967</v>
      </c>
      <c r="S4235" s="9">
        <v>2</v>
      </c>
      <c r="T4235" s="10">
        <v>36</v>
      </c>
      <c r="U4235" s="2">
        <f t="shared" si="720"/>
        <v>8.2800000000000011</v>
      </c>
      <c r="V4235" s="10">
        <f t="shared" si="723"/>
        <v>44.28</v>
      </c>
      <c r="W4235" s="2">
        <f>11.525*S4235</f>
        <v>23.05</v>
      </c>
      <c r="X4235" s="5">
        <f t="shared" si="724"/>
        <v>0.35972222222222222</v>
      </c>
      <c r="Z4235" s="2" t="s">
        <v>3226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3159</v>
      </c>
      <c r="P4237" s="2" t="s">
        <v>1038</v>
      </c>
      <c r="Q4237" s="2" t="s">
        <v>3086</v>
      </c>
      <c r="R4237" s="2" t="s">
        <v>3087</v>
      </c>
      <c r="S4237" s="9">
        <v>1</v>
      </c>
      <c r="T4237" s="10">
        <v>270</v>
      </c>
      <c r="U4237" s="2">
        <f t="shared" ref="U4237:U4258" si="727">T4237*23%</f>
        <v>62.1</v>
      </c>
      <c r="V4237" s="2">
        <f t="shared" ref="V4237:V4258" si="728">T4237+U4237</f>
        <v>332.1</v>
      </c>
      <c r="W4237" s="2">
        <v>141.16</v>
      </c>
      <c r="X4237" s="5">
        <f t="shared" ref="X4237:X4274" si="729">(T4237-W4237)/T4237</f>
        <v>0.47718518518518521</v>
      </c>
      <c r="Z4237" s="2" t="s">
        <v>3226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727"/>
        <v>0.34040000000000004</v>
      </c>
      <c r="V4238" s="10">
        <f t="shared" si="728"/>
        <v>1.8204</v>
      </c>
      <c r="W4238" s="2">
        <f>1.48*S4238</f>
        <v>1.48</v>
      </c>
      <c r="X4238" s="5">
        <f t="shared" si="729"/>
        <v>0</v>
      </c>
      <c r="Z4238" s="2" t="s">
        <v>3226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3107</v>
      </c>
      <c r="P4239" s="2" t="s">
        <v>282</v>
      </c>
      <c r="Q4239" s="2" t="s">
        <v>3088</v>
      </c>
      <c r="R4239" s="2" t="s">
        <v>3089</v>
      </c>
      <c r="S4239" s="9">
        <v>1</v>
      </c>
      <c r="T4239" s="10">
        <v>2490</v>
      </c>
      <c r="U4239" s="2">
        <f t="shared" si="727"/>
        <v>572.70000000000005</v>
      </c>
      <c r="V4239" s="10">
        <f t="shared" si="728"/>
        <v>3062.7</v>
      </c>
      <c r="W4239" s="2">
        <f>1970.05+49</f>
        <v>2019.05</v>
      </c>
      <c r="X4239" s="5">
        <f t="shared" si="729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3107</v>
      </c>
      <c r="P4240" s="2" t="s">
        <v>282</v>
      </c>
      <c r="Q4240" s="2" t="s">
        <v>3090</v>
      </c>
      <c r="R4240" s="2" t="s">
        <v>3091</v>
      </c>
      <c r="S4240" s="9">
        <v>1</v>
      </c>
      <c r="T4240" s="10">
        <v>2490</v>
      </c>
      <c r="U4240" s="2">
        <f t="shared" si="727"/>
        <v>572.70000000000005</v>
      </c>
      <c r="V4240" s="10">
        <f t="shared" si="728"/>
        <v>3062.7</v>
      </c>
      <c r="W4240" s="2">
        <f>1995.2+43.97</f>
        <v>2039.17</v>
      </c>
      <c r="X4240" s="5">
        <f t="shared" si="729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M4241" s="2" t="s">
        <v>40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727"/>
        <v>36.151400000000002</v>
      </c>
      <c r="V4241" s="10">
        <f t="shared" si="728"/>
        <v>193.3314</v>
      </c>
      <c r="W4241" s="2">
        <f>36.2258*S4241</f>
        <v>72.451599999999999</v>
      </c>
      <c r="X4241" s="5">
        <f t="shared" si="729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727"/>
        <v>6.5711000000000004</v>
      </c>
      <c r="V4242" s="10">
        <f t="shared" si="728"/>
        <v>35.141100000000002</v>
      </c>
      <c r="W4242" s="2">
        <f>5.33*S4242</f>
        <v>10.66</v>
      </c>
      <c r="X4242" s="5">
        <f t="shared" si="729"/>
        <v>0.62688134406720331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K4242" s="2">
        <f t="shared" ref="AK4242" si="730">T4242-W4242</f>
        <v>17.91</v>
      </c>
      <c r="AL4242" s="5">
        <f>(T4242-W4242)/T4242</f>
        <v>0.62688134406720331</v>
      </c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727"/>
        <v>25.3</v>
      </c>
      <c r="V4243" s="10">
        <f t="shared" si="728"/>
        <v>135.30000000000001</v>
      </c>
      <c r="W4243" s="2">
        <f>0.082*S4243</f>
        <v>82</v>
      </c>
      <c r="X4243" s="5">
        <f t="shared" si="729"/>
        <v>0.25454545454545452</v>
      </c>
      <c r="Z4243" s="2" t="s">
        <v>3226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727"/>
        <v>43.221600000000002</v>
      </c>
      <c r="V4244" s="2">
        <f t="shared" si="728"/>
        <v>231.14159999999998</v>
      </c>
      <c r="W4244" s="2">
        <f>92.63+1.2</f>
        <v>93.83</v>
      </c>
      <c r="X4244" s="5">
        <f t="shared" si="729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2984</v>
      </c>
      <c r="S4245" s="9">
        <v>1</v>
      </c>
      <c r="T4245" s="10">
        <v>28.38</v>
      </c>
      <c r="U4245" s="2">
        <f t="shared" si="727"/>
        <v>6.5274000000000001</v>
      </c>
      <c r="V4245" s="2">
        <f t="shared" si="728"/>
        <v>34.907399999999996</v>
      </c>
      <c r="W4245" s="2">
        <f>13.715*S4245</f>
        <v>13.715</v>
      </c>
      <c r="X4245" s="5">
        <f t="shared" si="729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K4245" s="2">
        <f t="shared" ref="AK4245" si="731">T4245-W4245</f>
        <v>14.664999999999999</v>
      </c>
      <c r="AL4245" s="5">
        <f t="shared" ref="AL4245" si="732">(T4245-W4245)/T4245</f>
        <v>0.51673713883016203</v>
      </c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727"/>
        <v>21.62</v>
      </c>
      <c r="V4246" s="2">
        <f t="shared" si="728"/>
        <v>115.62</v>
      </c>
      <c r="W4246" s="2">
        <f>T4246*40%</f>
        <v>37.6</v>
      </c>
      <c r="X4246" s="5">
        <f t="shared" si="729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727"/>
        <v>12.65</v>
      </c>
      <c r="V4247" s="2">
        <f t="shared" si="728"/>
        <v>67.650000000000006</v>
      </c>
      <c r="W4247" s="2">
        <f>T4247*50%</f>
        <v>27.5</v>
      </c>
      <c r="X4247" s="5">
        <f t="shared" si="729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727"/>
        <v>20.125</v>
      </c>
      <c r="V4248" s="10">
        <f t="shared" si="728"/>
        <v>107.625</v>
      </c>
      <c r="W4248" s="2">
        <f>T4248*70%</f>
        <v>61.249999999999993</v>
      </c>
      <c r="X4248" s="5">
        <f t="shared" si="729"/>
        <v>0.3000000000000001</v>
      </c>
      <c r="Z4248" s="2" t="s">
        <v>119</v>
      </c>
      <c r="AA4248" s="2" t="s">
        <v>3379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727"/>
        <v>59.248000000000005</v>
      </c>
      <c r="V4249" s="10">
        <f t="shared" si="728"/>
        <v>316.84800000000001</v>
      </c>
      <c r="W4249" s="2">
        <f>130.03+6.8</f>
        <v>136.83000000000001</v>
      </c>
      <c r="X4249" s="5">
        <f t="shared" si="729"/>
        <v>0.46882763975155278</v>
      </c>
      <c r="Z4249" s="2" t="s">
        <v>3226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733">T4249-W4249</f>
        <v>120.77000000000001</v>
      </c>
      <c r="AL4249" s="5">
        <f t="shared" ref="AL4249:AL4260" si="734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3161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727"/>
        <v>95.22</v>
      </c>
      <c r="V4250" s="2">
        <f t="shared" si="728"/>
        <v>509.22</v>
      </c>
      <c r="W4250" s="2">
        <v>270.60000000000002</v>
      </c>
      <c r="X4250" s="5">
        <f t="shared" si="729"/>
        <v>0.34637681159420286</v>
      </c>
      <c r="Z4250" s="2" t="s">
        <v>3226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733"/>
        <v>143.39999999999998</v>
      </c>
      <c r="AL4250" s="5">
        <f t="shared" si="734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F4251" s="2" t="s">
        <v>39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727"/>
        <v>0.68080000000000007</v>
      </c>
      <c r="V4251" s="10">
        <f t="shared" si="728"/>
        <v>3.6408</v>
      </c>
      <c r="W4251" s="2">
        <f>1.48*S4251</f>
        <v>2.96</v>
      </c>
      <c r="X4251" s="5">
        <f t="shared" si="729"/>
        <v>0</v>
      </c>
      <c r="Z4251" s="2" t="s">
        <v>3226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733"/>
        <v>0</v>
      </c>
      <c r="AL4251" s="5">
        <f t="shared" si="734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727"/>
        <v>2.0700000000000003</v>
      </c>
      <c r="V4252" s="10">
        <f t="shared" si="728"/>
        <v>11.07</v>
      </c>
      <c r="W4252" s="2">
        <f>3.7358*S4252</f>
        <v>3.7357999999999998</v>
      </c>
      <c r="X4252" s="5">
        <f t="shared" si="729"/>
        <v>0.58491111111111116</v>
      </c>
      <c r="Z4252" s="2" t="s">
        <v>3226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733"/>
        <v>5.2642000000000007</v>
      </c>
      <c r="AL4252" s="5">
        <f t="shared" si="734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727"/>
        <v>48.667999999999999</v>
      </c>
      <c r="V4253" s="10">
        <f t="shared" si="728"/>
        <v>260.26799999999997</v>
      </c>
      <c r="W4253" s="2">
        <f>115.92+6.06</f>
        <v>121.98</v>
      </c>
      <c r="X4253" s="5">
        <f t="shared" si="729"/>
        <v>0.42353497164461246</v>
      </c>
      <c r="Z4253" s="2" t="s">
        <v>3226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733"/>
        <v>89.61999999999999</v>
      </c>
      <c r="AL4253" s="5">
        <f t="shared" si="734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727"/>
        <v>0.34040000000000004</v>
      </c>
      <c r="V4254" s="10">
        <f t="shared" si="728"/>
        <v>1.8204</v>
      </c>
      <c r="W4254" s="2">
        <f>1.48*S4254</f>
        <v>1.48</v>
      </c>
      <c r="X4254" s="5">
        <f t="shared" si="729"/>
        <v>0</v>
      </c>
      <c r="Z4254" s="2" t="s">
        <v>3226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733"/>
        <v>0</v>
      </c>
      <c r="AL4254" s="5">
        <f t="shared" si="734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727"/>
        <v>2.99</v>
      </c>
      <c r="V4255" s="10">
        <f t="shared" si="728"/>
        <v>15.99</v>
      </c>
      <c r="W4255" s="2">
        <f>0.082*S4255</f>
        <v>8.2000000000000011</v>
      </c>
      <c r="X4255" s="5">
        <f t="shared" si="729"/>
        <v>0.36923076923076914</v>
      </c>
      <c r="Z4255" s="2" t="s">
        <v>3226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733"/>
        <v>4.7999999999999989</v>
      </c>
      <c r="AL4255" s="5">
        <f t="shared" si="734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727"/>
        <v>29.900000000000002</v>
      </c>
      <c r="V4256" s="10">
        <f t="shared" si="728"/>
        <v>159.9</v>
      </c>
      <c r="W4256" s="2">
        <f>0.0914*S4256</f>
        <v>91.399999999999991</v>
      </c>
      <c r="X4256" s="5">
        <f t="shared" si="729"/>
        <v>0.29692307692307701</v>
      </c>
      <c r="Z4256" s="2" t="s">
        <v>3226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733"/>
        <v>38.600000000000009</v>
      </c>
      <c r="AL4256" s="5">
        <f t="shared" si="734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3195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727"/>
        <v>46.850999999999999</v>
      </c>
      <c r="V4257" s="10">
        <f t="shared" si="728"/>
        <v>250.55099999999999</v>
      </c>
      <c r="W4257" s="2">
        <f>110.125+11.77</f>
        <v>121.895</v>
      </c>
      <c r="X4257" s="5">
        <f t="shared" si="729"/>
        <v>0.4015954835542464</v>
      </c>
      <c r="Z4257" s="2" t="s">
        <v>3226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733"/>
        <v>81.804999999999993</v>
      </c>
      <c r="AL4257" s="5">
        <f t="shared" si="734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727"/>
        <v>0.34040000000000004</v>
      </c>
      <c r="V4258" s="10">
        <f t="shared" si="728"/>
        <v>1.8204</v>
      </c>
      <c r="W4258" s="2">
        <f>1.48*S4258</f>
        <v>1.48</v>
      </c>
      <c r="X4258" s="5">
        <f t="shared" si="729"/>
        <v>0</v>
      </c>
      <c r="Z4258" s="2" t="s">
        <v>3226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733"/>
        <v>0</v>
      </c>
      <c r="AL4258" s="5">
        <f t="shared" si="734"/>
        <v>0</v>
      </c>
    </row>
    <row r="4259" spans="1:38" x14ac:dyDescent="0.2">
      <c r="A4259" s="8">
        <v>2026</v>
      </c>
      <c r="B4259" s="8">
        <v>6</v>
      </c>
      <c r="C4259" s="8" t="s">
        <v>3391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729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733"/>
        <v>120.4966</v>
      </c>
      <c r="AL4259" s="5">
        <f t="shared" si="734"/>
        <v>0.25874296757569254</v>
      </c>
    </row>
    <row r="4260" spans="1:38" x14ac:dyDescent="0.2">
      <c r="A4260" s="8">
        <v>2026</v>
      </c>
      <c r="B4260" s="8">
        <v>6</v>
      </c>
      <c r="C4260" s="8" t="s">
        <v>3377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735">T4260*23%</f>
        <v>5485.5</v>
      </c>
      <c r="V4260" s="2">
        <f t="shared" ref="V4260:V4276" si="736">T4260+U4260</f>
        <v>29335.5</v>
      </c>
      <c r="W4260" s="2">
        <f>16602.97+398</f>
        <v>17000.97</v>
      </c>
      <c r="X4260" s="5">
        <f t="shared" si="729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733"/>
        <v>6849.0299999999988</v>
      </c>
      <c r="AL4260" s="5">
        <f t="shared" si="734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P4261" s="2" t="s">
        <v>114</v>
      </c>
      <c r="Q4261" s="2" t="s">
        <v>3092</v>
      </c>
      <c r="R4261" s="2" t="s">
        <v>3093</v>
      </c>
      <c r="S4261" s="9">
        <v>1</v>
      </c>
      <c r="T4261" s="10">
        <v>750.56</v>
      </c>
      <c r="U4261" s="2">
        <f t="shared" si="735"/>
        <v>172.62879999999998</v>
      </c>
      <c r="V4261" s="2">
        <f t="shared" si="736"/>
        <v>923.1887999999999</v>
      </c>
      <c r="W4261" s="2">
        <f>376.4</f>
        <v>376.4</v>
      </c>
      <c r="X4261" s="5">
        <f t="shared" si="729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735"/>
        <v>12.65</v>
      </c>
      <c r="V4262" s="2">
        <f t="shared" si="736"/>
        <v>67.650000000000006</v>
      </c>
      <c r="W4262" s="2">
        <f>T4262*40%</f>
        <v>22</v>
      </c>
      <c r="X4262" s="5">
        <f t="shared" si="729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6" si="737">T4262-W4262</f>
        <v>33</v>
      </c>
      <c r="AL4262" s="5">
        <f t="shared" ref="AL4262:AL4274" si="738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3106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735"/>
        <v>12.65</v>
      </c>
      <c r="V4263" s="2">
        <f t="shared" si="736"/>
        <v>67.650000000000006</v>
      </c>
      <c r="W4263" s="2">
        <f>T4263*50%</f>
        <v>27.5</v>
      </c>
      <c r="X4263" s="5">
        <f t="shared" si="729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737"/>
        <v>27.5</v>
      </c>
      <c r="AL4263" s="5">
        <f t="shared" si="738"/>
        <v>0.5</v>
      </c>
    </row>
    <row r="4264" spans="1:38" x14ac:dyDescent="0.2">
      <c r="A4264" s="8">
        <v>2026</v>
      </c>
      <c r="B4264" s="8">
        <v>6</v>
      </c>
      <c r="C4264" s="8" t="s">
        <v>3322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735"/>
        <v>26.220000000000002</v>
      </c>
      <c r="V4264" s="2">
        <f t="shared" si="736"/>
        <v>140.22</v>
      </c>
      <c r="W4264" s="2">
        <f>T4264*40%</f>
        <v>45.6</v>
      </c>
      <c r="X4264" s="5">
        <f t="shared" si="729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737"/>
        <v>68.400000000000006</v>
      </c>
      <c r="AL4264" s="5">
        <f t="shared" si="738"/>
        <v>0.60000000000000009</v>
      </c>
    </row>
    <row r="4265" spans="1:38" x14ac:dyDescent="0.2">
      <c r="A4265" s="8">
        <v>2026</v>
      </c>
      <c r="B4265" s="8">
        <v>6</v>
      </c>
      <c r="C4265" s="8" t="s">
        <v>3322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735"/>
        <v>11.385</v>
      </c>
      <c r="V4265" s="2">
        <f t="shared" si="736"/>
        <v>60.884999999999998</v>
      </c>
      <c r="W4265" s="2">
        <f>T4265*50%</f>
        <v>24.75</v>
      </c>
      <c r="X4265" s="5">
        <f t="shared" si="729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737"/>
        <v>24.75</v>
      </c>
      <c r="AL4265" s="5">
        <f t="shared" si="738"/>
        <v>0.5</v>
      </c>
    </row>
    <row r="4266" spans="1:38" x14ac:dyDescent="0.2">
      <c r="A4266" s="8">
        <v>2026</v>
      </c>
      <c r="B4266" s="8">
        <v>6</v>
      </c>
      <c r="C4266" s="8" t="s">
        <v>3322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735"/>
        <v>137.86199999999999</v>
      </c>
      <c r="V4266" s="2">
        <f t="shared" si="736"/>
        <v>737.26199999999994</v>
      </c>
      <c r="W4266" s="2">
        <v>346.57</v>
      </c>
      <c r="X4266" s="5">
        <f t="shared" si="729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737"/>
        <v>252.82999999999998</v>
      </c>
      <c r="AL4266" s="5">
        <f t="shared" si="738"/>
        <v>0.42180513847180512</v>
      </c>
    </row>
    <row r="4267" spans="1:38" x14ac:dyDescent="0.2">
      <c r="A4267" s="8">
        <v>2026</v>
      </c>
      <c r="B4267" s="8">
        <v>6</v>
      </c>
      <c r="C4267" s="8" t="s">
        <v>3322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735"/>
        <v>1607.7</v>
      </c>
      <c r="V4267" s="2">
        <f t="shared" si="736"/>
        <v>8597.7000000000007</v>
      </c>
      <c r="W4267" s="2">
        <f>4893.23+171</f>
        <v>5064.2299999999996</v>
      </c>
      <c r="X4267" s="5">
        <f t="shared" si="729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737"/>
        <v>1925.7700000000004</v>
      </c>
      <c r="AL4267" s="5">
        <f t="shared" si="738"/>
        <v>0.27550357653791135</v>
      </c>
    </row>
    <row r="4268" spans="1:38" x14ac:dyDescent="0.2">
      <c r="A4268" s="8">
        <v>2026</v>
      </c>
      <c r="B4268" s="8">
        <v>6</v>
      </c>
      <c r="C4268" s="8" t="s">
        <v>3322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735"/>
        <v>160.839</v>
      </c>
      <c r="V4268" s="2">
        <f t="shared" si="736"/>
        <v>860.1389999999999</v>
      </c>
      <c r="W4268" s="2">
        <v>345.20339999999999</v>
      </c>
      <c r="X4268" s="5">
        <f t="shared" si="729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737"/>
        <v>354.09659999999997</v>
      </c>
      <c r="AL4268" s="5">
        <f t="shared" si="738"/>
        <v>0.50635864435864431</v>
      </c>
    </row>
    <row r="4269" spans="1:38" x14ac:dyDescent="0.2">
      <c r="A4269" s="8">
        <v>2026</v>
      </c>
      <c r="B4269" s="8">
        <v>6</v>
      </c>
      <c r="C4269" s="8" t="s">
        <v>3322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735"/>
        <v>34.96</v>
      </c>
      <c r="V4269" s="2">
        <f t="shared" si="736"/>
        <v>186.96</v>
      </c>
      <c r="W4269" s="2">
        <f>T4269*40%</f>
        <v>60.800000000000004</v>
      </c>
      <c r="X4269" s="5">
        <f t="shared" si="729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737"/>
        <v>91.199999999999989</v>
      </c>
      <c r="AL4269" s="5">
        <f t="shared" si="738"/>
        <v>0.6</v>
      </c>
    </row>
    <row r="4270" spans="1:38" x14ac:dyDescent="0.2">
      <c r="A4270" s="8">
        <v>2026</v>
      </c>
      <c r="B4270" s="8">
        <v>6</v>
      </c>
      <c r="C4270" s="8" t="s">
        <v>3322</v>
      </c>
      <c r="D4270" s="2" t="s">
        <v>3103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735"/>
        <v>12.65</v>
      </c>
      <c r="V4270" s="2">
        <f t="shared" si="736"/>
        <v>67.650000000000006</v>
      </c>
      <c r="W4270" s="2">
        <f>T4270*50%</f>
        <v>27.5</v>
      </c>
      <c r="X4270" s="5">
        <f t="shared" si="729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737"/>
        <v>27.5</v>
      </c>
      <c r="AL4270" s="5">
        <f t="shared" si="738"/>
        <v>0.5</v>
      </c>
    </row>
    <row r="4271" spans="1:38" x14ac:dyDescent="0.2">
      <c r="A4271" s="8">
        <v>2026</v>
      </c>
      <c r="B4271" s="8">
        <v>6</v>
      </c>
      <c r="C4271" s="8" t="s">
        <v>3391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735"/>
        <v>457.70000000000005</v>
      </c>
      <c r="V4271" s="10">
        <f t="shared" si="736"/>
        <v>2447.6999999999998</v>
      </c>
      <c r="W4271" s="2">
        <v>1492.7</v>
      </c>
      <c r="X4271" s="5">
        <f t="shared" si="729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37"/>
        <v>497.29999999999995</v>
      </c>
      <c r="AL4271" s="5">
        <f t="shared" si="738"/>
        <v>0.24989949748743717</v>
      </c>
    </row>
    <row r="4272" spans="1:38" x14ac:dyDescent="0.2">
      <c r="A4272" s="8">
        <v>2026</v>
      </c>
      <c r="B4272" s="8">
        <v>6</v>
      </c>
      <c r="C4272" s="8" t="s">
        <v>3391</v>
      </c>
      <c r="D4272" s="2" t="s">
        <v>2188</v>
      </c>
      <c r="E4272" s="2" t="s">
        <v>38</v>
      </c>
      <c r="F4272" s="2" t="s">
        <v>39</v>
      </c>
      <c r="G4272" s="2">
        <v>500228353</v>
      </c>
      <c r="L4272" s="2" t="s">
        <v>133</v>
      </c>
      <c r="M4272" s="2" t="s">
        <v>109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735"/>
        <v>457.70000000000005</v>
      </c>
      <c r="V4272" s="10">
        <f t="shared" si="736"/>
        <v>2447.6999999999998</v>
      </c>
      <c r="W4272" s="2">
        <v>1578</v>
      </c>
      <c r="X4272" s="5">
        <f t="shared" si="729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737"/>
        <v>412</v>
      </c>
      <c r="AL4272" s="5">
        <f t="shared" si="738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735"/>
        <v>966</v>
      </c>
      <c r="V4273" s="10">
        <f t="shared" si="736"/>
        <v>5166</v>
      </c>
      <c r="W4273" s="2">
        <f>3203.85+43</f>
        <v>3246.85</v>
      </c>
      <c r="X4273" s="5">
        <f t="shared" si="729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737"/>
        <v>953.15000000000009</v>
      </c>
      <c r="AL4273" s="5">
        <f t="shared" si="738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3102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735"/>
        <v>494.5</v>
      </c>
      <c r="V4274" s="10">
        <f t="shared" si="736"/>
        <v>2644.5</v>
      </c>
      <c r="W4274" s="2">
        <v>1578</v>
      </c>
      <c r="X4274" s="5">
        <f t="shared" si="729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737"/>
        <v>572</v>
      </c>
      <c r="AL4274" s="5">
        <f t="shared" si="738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3094</v>
      </c>
      <c r="R4275" s="2" t="s">
        <v>3095</v>
      </c>
      <c r="S4275" s="9">
        <v>-4</v>
      </c>
      <c r="T4275" s="10">
        <v>-800</v>
      </c>
      <c r="U4275" s="2">
        <f t="shared" si="735"/>
        <v>-184</v>
      </c>
      <c r="V4275" s="10">
        <f t="shared" si="736"/>
        <v>-984</v>
      </c>
      <c r="W4275" s="2">
        <f>124*4</f>
        <v>496</v>
      </c>
      <c r="X4275" s="18">
        <f>SIGN(T4275)*((ABS(T4275)-W4275)/ABS(T4275))</f>
        <v>-0.38</v>
      </c>
      <c r="Z4275" s="2" t="s">
        <v>3226</v>
      </c>
      <c r="AA4275" s="2" t="s">
        <v>3382</v>
      </c>
      <c r="AB4275" s="2" t="s">
        <v>3388</v>
      </c>
      <c r="AC4275" s="2" t="s">
        <v>3389</v>
      </c>
      <c r="AI4275" s="2"/>
      <c r="AK4275" s="2">
        <f t="shared" si="737"/>
        <v>-1296</v>
      </c>
      <c r="AL4275" s="18">
        <f t="shared" ref="AL4275:AL4276" si="739"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3096</v>
      </c>
      <c r="R4276" s="2" t="s">
        <v>3097</v>
      </c>
      <c r="S4276" s="9">
        <v>-4</v>
      </c>
      <c r="T4276" s="10">
        <v>-714.4</v>
      </c>
      <c r="U4276" s="2">
        <f t="shared" si="735"/>
        <v>-164.31200000000001</v>
      </c>
      <c r="V4276" s="10">
        <f t="shared" si="736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3226</v>
      </c>
      <c r="AA4276" s="2" t="s">
        <v>3382</v>
      </c>
      <c r="AB4276" s="2" t="s">
        <v>3388</v>
      </c>
      <c r="AC4276" s="2" t="s">
        <v>3389</v>
      </c>
      <c r="AI4276" s="2"/>
      <c r="AK4276" s="2">
        <f t="shared" si="737"/>
        <v>-1214.4000000000001</v>
      </c>
      <c r="AL4276" s="18">
        <f t="shared" si="739"/>
        <v>-0.30011198208286671</v>
      </c>
    </row>
    <row r="4277" spans="1:38" x14ac:dyDescent="0.2">
      <c r="A4277" s="8">
        <v>2026</v>
      </c>
      <c r="B4277" s="8">
        <v>6</v>
      </c>
      <c r="C4277" s="8" t="s">
        <v>3293</v>
      </c>
      <c r="D4277" s="2" t="s">
        <v>3397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3227</v>
      </c>
      <c r="R4277" s="2" t="s">
        <v>1155</v>
      </c>
      <c r="S4277" s="8">
        <v>1</v>
      </c>
      <c r="T4277" s="2">
        <v>2900</v>
      </c>
      <c r="U4277" s="2">
        <f t="shared" si="735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740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3293</v>
      </c>
      <c r="D4278" s="2" t="s">
        <v>3397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3228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740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3294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3269</v>
      </c>
      <c r="M4279" s="2" t="s">
        <v>41</v>
      </c>
      <c r="O4279" s="2" t="s">
        <v>3266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741">T4279*23%</f>
        <v>5.7960000000000003</v>
      </c>
      <c r="V4279" s="12">
        <f t="shared" ref="V4279:V4310" si="742">T4279+U4279</f>
        <v>30.995999999999999</v>
      </c>
      <c r="W4279" s="2">
        <v>14.535</v>
      </c>
      <c r="X4279" s="5">
        <f t="shared" ref="X4279:X4310" si="743">(T4279-W4279)/T4279</f>
        <v>0.42321428571428571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40"/>
        <v>10.664999999999999</v>
      </c>
      <c r="AL4279" s="5">
        <f t="shared" ref="AL4279:AL4310" si="744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3294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3269</v>
      </c>
      <c r="M4280" s="2" t="s">
        <v>41</v>
      </c>
      <c r="O4280" s="2" t="s">
        <v>3266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741"/>
        <v>4.83</v>
      </c>
      <c r="V4280" s="12">
        <f t="shared" si="742"/>
        <v>25.83</v>
      </c>
      <c r="W4280" s="2">
        <f>9.3*S4280</f>
        <v>9.3000000000000007</v>
      </c>
      <c r="X4280" s="5">
        <f t="shared" si="743"/>
        <v>0.55714285714285716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40"/>
        <v>11.7</v>
      </c>
      <c r="AL4280" s="5">
        <f t="shared" si="744"/>
        <v>0.55714285714285716</v>
      </c>
    </row>
    <row r="4281" spans="1:38" x14ac:dyDescent="0.2">
      <c r="A4281" s="2">
        <v>2026</v>
      </c>
      <c r="B4281" s="2">
        <v>7</v>
      </c>
      <c r="C4281" s="2" t="s">
        <v>3294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3269</v>
      </c>
      <c r="M4281" s="2" t="s">
        <v>41</v>
      </c>
      <c r="O4281" s="2" t="s">
        <v>3266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741"/>
        <v>2.99</v>
      </c>
      <c r="V4281" s="12">
        <f t="shared" si="742"/>
        <v>15.99</v>
      </c>
      <c r="W4281" s="2">
        <f>6.6267*S4281</f>
        <v>6.6266999999999996</v>
      </c>
      <c r="X4281" s="5">
        <f t="shared" si="743"/>
        <v>0.49025384615384621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40"/>
        <v>6.3733000000000004</v>
      </c>
      <c r="AL4281" s="5">
        <f t="shared" si="744"/>
        <v>0.49025384615384621</v>
      </c>
    </row>
    <row r="4282" spans="1:38" x14ac:dyDescent="0.2">
      <c r="A4282" s="2">
        <v>2026</v>
      </c>
      <c r="B4282" s="2">
        <v>7</v>
      </c>
      <c r="C4282" s="2" t="s">
        <v>3294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3269</v>
      </c>
      <c r="M4282" s="2" t="s">
        <v>80</v>
      </c>
      <c r="O4282" s="2" t="s">
        <v>3267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741"/>
        <v>4.1400000000000006</v>
      </c>
      <c r="V4282" s="12">
        <f t="shared" si="742"/>
        <v>22.14</v>
      </c>
      <c r="W4282" s="2">
        <f>14.4*S4282</f>
        <v>14.4</v>
      </c>
      <c r="X4282" s="5">
        <f t="shared" si="743"/>
        <v>0.19999999999999998</v>
      </c>
      <c r="Z4282" s="2" t="s">
        <v>3226</v>
      </c>
      <c r="AA4282" s="2" t="s">
        <v>46</v>
      </c>
      <c r="AB4282" s="2" t="s">
        <v>47</v>
      </c>
      <c r="AC4282" s="2" t="s">
        <v>57</v>
      </c>
      <c r="AK4282" s="2">
        <f t="shared" si="740"/>
        <v>3.5999999999999996</v>
      </c>
      <c r="AL4282" s="5">
        <f t="shared" si="744"/>
        <v>0.19999999999999998</v>
      </c>
    </row>
    <row r="4283" spans="1:38" x14ac:dyDescent="0.2">
      <c r="A4283" s="2">
        <v>2026</v>
      </c>
      <c r="B4283" s="2">
        <v>7</v>
      </c>
      <c r="C4283" s="2" t="s">
        <v>3294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3269</v>
      </c>
      <c r="M4283" s="2" t="s">
        <v>80</v>
      </c>
      <c r="O4283" s="2" t="s">
        <v>3267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741"/>
        <v>6.9</v>
      </c>
      <c r="V4283" s="12">
        <f t="shared" si="742"/>
        <v>36.9</v>
      </c>
      <c r="W4283" s="2">
        <f>10.6*S4283</f>
        <v>21.2</v>
      </c>
      <c r="X4283" s="5">
        <f t="shared" si="743"/>
        <v>0.29333333333333333</v>
      </c>
      <c r="Z4283" s="2" t="s">
        <v>3226</v>
      </c>
      <c r="AA4283" s="2" t="s">
        <v>46</v>
      </c>
      <c r="AB4283" s="2" t="s">
        <v>56</v>
      </c>
      <c r="AC4283" s="2" t="s">
        <v>57</v>
      </c>
      <c r="AK4283" s="2">
        <f t="shared" si="740"/>
        <v>8.8000000000000007</v>
      </c>
      <c r="AL4283" s="5">
        <f t="shared" si="744"/>
        <v>0.29333333333333333</v>
      </c>
    </row>
    <row r="4284" spans="1:38" x14ac:dyDescent="0.2">
      <c r="A4284" s="2">
        <v>2026</v>
      </c>
      <c r="B4284" s="2">
        <v>7</v>
      </c>
      <c r="C4284" s="2" t="s">
        <v>3294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3269</v>
      </c>
      <c r="M4284" s="2" t="s">
        <v>80</v>
      </c>
      <c r="O4284" s="2" t="s">
        <v>3267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741"/>
        <v>5.5200000000000005</v>
      </c>
      <c r="V4284" s="12">
        <f t="shared" si="742"/>
        <v>29.52</v>
      </c>
      <c r="W4284" s="2">
        <f>8*S4284</f>
        <v>16</v>
      </c>
      <c r="X4284" s="5">
        <f t="shared" si="743"/>
        <v>0.33333333333333331</v>
      </c>
      <c r="Z4284" s="2" t="s">
        <v>3226</v>
      </c>
      <c r="AA4284" s="2" t="s">
        <v>46</v>
      </c>
      <c r="AB4284" s="2" t="s">
        <v>47</v>
      </c>
      <c r="AC4284" s="2" t="s">
        <v>57</v>
      </c>
      <c r="AK4284" s="2">
        <f t="shared" si="740"/>
        <v>8</v>
      </c>
      <c r="AL4284" s="5">
        <f t="shared" si="744"/>
        <v>0.33333333333333331</v>
      </c>
    </row>
    <row r="4285" spans="1:38" x14ac:dyDescent="0.2">
      <c r="A4285" s="2">
        <v>2026</v>
      </c>
      <c r="B4285" s="2">
        <v>7</v>
      </c>
      <c r="C4285" s="2" t="s">
        <v>3294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3269</v>
      </c>
      <c r="M4285" s="2" t="s">
        <v>80</v>
      </c>
      <c r="O4285" s="2" t="s">
        <v>3268</v>
      </c>
      <c r="P4285" s="2" t="s">
        <v>1038</v>
      </c>
      <c r="Q4285" s="2" t="s">
        <v>3264</v>
      </c>
      <c r="R4285" s="2" t="s">
        <v>3265</v>
      </c>
      <c r="S4285" s="13">
        <v>1</v>
      </c>
      <c r="T4285" s="14">
        <v>187</v>
      </c>
      <c r="U4285" s="2">
        <f t="shared" si="741"/>
        <v>43.010000000000005</v>
      </c>
      <c r="V4285" s="12">
        <f t="shared" si="742"/>
        <v>230.01</v>
      </c>
      <c r="W4285" s="2">
        <v>141.16</v>
      </c>
      <c r="X4285" s="5">
        <f t="shared" si="743"/>
        <v>0.24513368983957221</v>
      </c>
      <c r="Z4285" s="2" t="s">
        <v>3226</v>
      </c>
      <c r="AA4285" s="2" t="s">
        <v>75</v>
      </c>
      <c r="AB4285" s="2" t="s">
        <v>76</v>
      </c>
      <c r="AC4285" s="2" t="s">
        <v>1038</v>
      </c>
      <c r="AK4285" s="2">
        <f t="shared" si="740"/>
        <v>45.84</v>
      </c>
      <c r="AL4285" s="5">
        <f t="shared" si="744"/>
        <v>0.24513368983957221</v>
      </c>
    </row>
    <row r="4286" spans="1:38" x14ac:dyDescent="0.2">
      <c r="A4286" s="2">
        <v>2026</v>
      </c>
      <c r="B4286" s="2">
        <v>7</v>
      </c>
      <c r="C4286" s="2" t="s">
        <v>3294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3269</v>
      </c>
      <c r="M4286" s="2" t="s">
        <v>80</v>
      </c>
      <c r="O4286" s="2" t="s">
        <v>3268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741"/>
        <v>0.34040000000000004</v>
      </c>
      <c r="V4286" s="12">
        <f t="shared" si="742"/>
        <v>1.8204</v>
      </c>
      <c r="W4286" s="2">
        <v>1.48</v>
      </c>
      <c r="X4286" s="5">
        <f t="shared" si="743"/>
        <v>0</v>
      </c>
      <c r="Z4286" s="2" t="s">
        <v>3226</v>
      </c>
      <c r="AA4286" s="2" t="s">
        <v>96</v>
      </c>
      <c r="AB4286" s="2" t="s">
        <v>76</v>
      </c>
      <c r="AC4286" s="2" t="s">
        <v>93</v>
      </c>
      <c r="AK4286" s="2">
        <f t="shared" si="740"/>
        <v>0</v>
      </c>
      <c r="AL4286" s="5">
        <f t="shared" si="744"/>
        <v>0</v>
      </c>
    </row>
    <row r="4287" spans="1:38" x14ac:dyDescent="0.2">
      <c r="A4287" s="2">
        <v>2026</v>
      </c>
      <c r="B4287" s="2">
        <v>7</v>
      </c>
      <c r="C4287" s="2" t="s">
        <v>3294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3278</v>
      </c>
      <c r="P4287" s="2" t="s">
        <v>72</v>
      </c>
      <c r="Q4287" s="2" t="s">
        <v>3027</v>
      </c>
      <c r="R4287" s="2" t="s">
        <v>331</v>
      </c>
      <c r="S4287" s="13">
        <v>1</v>
      </c>
      <c r="T4287" s="14">
        <v>220</v>
      </c>
      <c r="U4287" s="2">
        <f t="shared" si="741"/>
        <v>50.6</v>
      </c>
      <c r="V4287" s="12">
        <f t="shared" si="742"/>
        <v>270.60000000000002</v>
      </c>
      <c r="W4287" s="2">
        <v>113.4</v>
      </c>
      <c r="X4287" s="5">
        <f t="shared" si="743"/>
        <v>0.4845454545454545</v>
      </c>
      <c r="Z4287" s="2" t="s">
        <v>3226</v>
      </c>
      <c r="AA4287" s="2" t="s">
        <v>75</v>
      </c>
      <c r="AB4287" s="2" t="s">
        <v>76</v>
      </c>
      <c r="AC4287" s="2" t="s">
        <v>77</v>
      </c>
      <c r="AK4287" s="2">
        <f t="shared" si="740"/>
        <v>106.6</v>
      </c>
      <c r="AL4287" s="5">
        <f t="shared" si="744"/>
        <v>0.4845454545454545</v>
      </c>
    </row>
    <row r="4288" spans="1:38" x14ac:dyDescent="0.2">
      <c r="A4288" s="2">
        <v>2026</v>
      </c>
      <c r="B4288" s="2">
        <v>7</v>
      </c>
      <c r="C4288" s="2" t="s">
        <v>3294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3278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741"/>
        <v>0.34040000000000004</v>
      </c>
      <c r="V4288" s="12">
        <f t="shared" si="742"/>
        <v>1.8204</v>
      </c>
      <c r="W4288" s="2">
        <v>1.48</v>
      </c>
      <c r="X4288" s="5">
        <f t="shared" si="743"/>
        <v>0</v>
      </c>
      <c r="Z4288" s="2" t="s">
        <v>3226</v>
      </c>
      <c r="AA4288" s="2" t="s">
        <v>96</v>
      </c>
      <c r="AB4288" s="2" t="s">
        <v>76</v>
      </c>
      <c r="AC4288" s="2" t="s">
        <v>93</v>
      </c>
      <c r="AK4288" s="2">
        <f t="shared" si="740"/>
        <v>0</v>
      </c>
      <c r="AL4288" s="5">
        <f t="shared" si="744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3284</v>
      </c>
      <c r="L4289" s="2" t="s">
        <v>339</v>
      </c>
      <c r="M4289" s="2" t="s">
        <v>40</v>
      </c>
      <c r="O4289" s="2" t="s">
        <v>3285</v>
      </c>
      <c r="P4289" s="2" t="s">
        <v>282</v>
      </c>
      <c r="Q4289" s="2" t="s">
        <v>2996</v>
      </c>
      <c r="R4289" s="2" t="s">
        <v>2997</v>
      </c>
      <c r="S4289" s="13">
        <v>1</v>
      </c>
      <c r="T4289" s="14">
        <v>1190</v>
      </c>
      <c r="U4289" s="2">
        <f t="shared" si="741"/>
        <v>273.7</v>
      </c>
      <c r="V4289" s="12">
        <f t="shared" si="742"/>
        <v>1463.7</v>
      </c>
      <c r="W4289" s="2">
        <v>773.5</v>
      </c>
      <c r="X4289" s="5">
        <f t="shared" si="743"/>
        <v>0.35</v>
      </c>
      <c r="Z4289" s="2" t="s">
        <v>117</v>
      </c>
      <c r="AA4289" s="2" t="s">
        <v>181</v>
      </c>
      <c r="AB4289" s="2" t="s">
        <v>3380</v>
      </c>
      <c r="AC4289" s="2" t="s">
        <v>1327</v>
      </c>
      <c r="AK4289" s="2">
        <f t="shared" si="740"/>
        <v>416.5</v>
      </c>
      <c r="AL4289" s="5">
        <f t="shared" si="744"/>
        <v>0.35</v>
      </c>
    </row>
    <row r="4290" spans="1:38" x14ac:dyDescent="0.2">
      <c r="A4290" s="2">
        <v>2026</v>
      </c>
      <c r="B4290" s="2">
        <v>7</v>
      </c>
      <c r="C4290" s="2" t="s">
        <v>3294</v>
      </c>
      <c r="D4290" s="2" t="s">
        <v>3270</v>
      </c>
      <c r="E4290" s="2" t="s">
        <v>38</v>
      </c>
      <c r="F4290" s="2" t="s">
        <v>39</v>
      </c>
      <c r="H4290" s="2" t="s">
        <v>290</v>
      </c>
      <c r="I4290" s="2" t="s">
        <v>3280</v>
      </c>
      <c r="L4290" s="2" t="s">
        <v>339</v>
      </c>
      <c r="M4290" s="2" t="s">
        <v>80</v>
      </c>
      <c r="O4290" s="2" t="s">
        <v>3279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741"/>
        <v>52.9529</v>
      </c>
      <c r="V4290" s="12">
        <f t="shared" si="742"/>
        <v>283.18290000000002</v>
      </c>
      <c r="W4290" s="2">
        <f>115.92+6.06</f>
        <v>121.98</v>
      </c>
      <c r="X4290" s="5">
        <f t="shared" si="743"/>
        <v>0.47018199192112231</v>
      </c>
      <c r="Z4290" s="2" t="s">
        <v>3226</v>
      </c>
      <c r="AA4290" s="2" t="s">
        <v>75</v>
      </c>
      <c r="AB4290" s="2" t="s">
        <v>76</v>
      </c>
      <c r="AC4290" s="2" t="s">
        <v>77</v>
      </c>
      <c r="AK4290" s="2">
        <f t="shared" si="740"/>
        <v>108.24999999999999</v>
      </c>
      <c r="AL4290" s="5">
        <f t="shared" si="744"/>
        <v>0.47018199192112231</v>
      </c>
    </row>
    <row r="4291" spans="1:38" x14ac:dyDescent="0.2">
      <c r="A4291" s="2">
        <v>2026</v>
      </c>
      <c r="B4291" s="2">
        <v>7</v>
      </c>
      <c r="C4291" s="2" t="s">
        <v>3294</v>
      </c>
      <c r="D4291" s="2" t="s">
        <v>3270</v>
      </c>
      <c r="E4291" s="2" t="s">
        <v>38</v>
      </c>
      <c r="F4291" s="2" t="s">
        <v>39</v>
      </c>
      <c r="H4291" s="2" t="s">
        <v>290</v>
      </c>
      <c r="I4291" s="2" t="s">
        <v>3280</v>
      </c>
      <c r="L4291" s="2" t="s">
        <v>339</v>
      </c>
      <c r="M4291" s="2" t="s">
        <v>80</v>
      </c>
      <c r="O4291" s="2" t="s">
        <v>3279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741"/>
        <v>0.34040000000000004</v>
      </c>
      <c r="V4291" s="12">
        <f t="shared" si="742"/>
        <v>1.8204</v>
      </c>
      <c r="W4291" s="2">
        <v>1.48</v>
      </c>
      <c r="X4291" s="5">
        <f t="shared" si="743"/>
        <v>0</v>
      </c>
      <c r="Z4291" s="2" t="s">
        <v>3226</v>
      </c>
      <c r="AA4291" s="2" t="s">
        <v>96</v>
      </c>
      <c r="AB4291" s="2" t="s">
        <v>76</v>
      </c>
      <c r="AC4291" s="2" t="s">
        <v>93</v>
      </c>
      <c r="AK4291" s="2">
        <f t="shared" si="740"/>
        <v>0</v>
      </c>
      <c r="AL4291" s="5">
        <f t="shared" si="744"/>
        <v>0</v>
      </c>
    </row>
    <row r="4292" spans="1:38" x14ac:dyDescent="0.2">
      <c r="A4292" s="2">
        <v>2026</v>
      </c>
      <c r="B4292" s="2">
        <v>7</v>
      </c>
      <c r="D4292" s="2" t="s">
        <v>3271</v>
      </c>
      <c r="E4292" s="2" t="s">
        <v>752</v>
      </c>
      <c r="F4292" s="2" t="s">
        <v>918</v>
      </c>
      <c r="H4292" s="2" t="s">
        <v>40</v>
      </c>
      <c r="I4292" s="2" t="s">
        <v>3286</v>
      </c>
      <c r="L4292" s="2" t="s">
        <v>99</v>
      </c>
      <c r="M4292" s="2" t="s">
        <v>40</v>
      </c>
      <c r="O4292" s="2" t="s">
        <v>3287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741"/>
        <v>160.839</v>
      </c>
      <c r="V4292" s="12">
        <f t="shared" si="742"/>
        <v>860.1389999999999</v>
      </c>
      <c r="W4292" s="2">
        <v>345.20339999999999</v>
      </c>
      <c r="X4292" s="5">
        <f t="shared" si="743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740"/>
        <v>354.09659999999997</v>
      </c>
      <c r="AL4292" s="5">
        <f t="shared" si="744"/>
        <v>0.50635864435864431</v>
      </c>
    </row>
    <row r="4293" spans="1:38" x14ac:dyDescent="0.2">
      <c r="A4293" s="2">
        <v>2026</v>
      </c>
      <c r="B4293" s="2">
        <v>7</v>
      </c>
      <c r="D4293" s="2" t="s">
        <v>3271</v>
      </c>
      <c r="E4293" s="2" t="s">
        <v>752</v>
      </c>
      <c r="F4293" s="2" t="s">
        <v>918</v>
      </c>
      <c r="H4293" s="2" t="s">
        <v>40</v>
      </c>
      <c r="I4293" s="2" t="s">
        <v>3286</v>
      </c>
      <c r="L4293" s="2" t="s">
        <v>99</v>
      </c>
      <c r="M4293" s="2" t="s">
        <v>40</v>
      </c>
      <c r="O4293" s="2" t="s">
        <v>3287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741"/>
        <v>12.65</v>
      </c>
      <c r="V4293" s="12">
        <f t="shared" si="742"/>
        <v>67.650000000000006</v>
      </c>
      <c r="W4293" s="2">
        <f>T4293*40%</f>
        <v>22</v>
      </c>
      <c r="X4293" s="5">
        <f t="shared" si="743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740"/>
        <v>33</v>
      </c>
      <c r="AL4293" s="5">
        <f t="shared" si="744"/>
        <v>0.6</v>
      </c>
    </row>
    <row r="4294" spans="1:38" x14ac:dyDescent="0.2">
      <c r="A4294" s="2">
        <v>2026</v>
      </c>
      <c r="B4294" s="2">
        <v>7</v>
      </c>
      <c r="D4294" s="2" t="s">
        <v>3271</v>
      </c>
      <c r="E4294" s="2" t="s">
        <v>752</v>
      </c>
      <c r="F4294" s="2" t="s">
        <v>918</v>
      </c>
      <c r="H4294" s="2" t="s">
        <v>40</v>
      </c>
      <c r="I4294" s="2" t="s">
        <v>3286</v>
      </c>
      <c r="L4294" s="2" t="s">
        <v>99</v>
      </c>
      <c r="M4294" s="2" t="s">
        <v>40</v>
      </c>
      <c r="O4294" s="2" t="s">
        <v>3287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741"/>
        <v>6.3250000000000002</v>
      </c>
      <c r="V4294" s="12">
        <f t="shared" si="742"/>
        <v>33.825000000000003</v>
      </c>
      <c r="W4294" s="2">
        <f>T4294*50%</f>
        <v>13.75</v>
      </c>
      <c r="X4294" s="5">
        <f t="shared" si="743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740"/>
        <v>13.75</v>
      </c>
      <c r="AL4294" s="5">
        <f t="shared" si="744"/>
        <v>0.5</v>
      </c>
    </row>
    <row r="4295" spans="1:38" x14ac:dyDescent="0.2">
      <c r="A4295" s="2">
        <v>2026</v>
      </c>
      <c r="B4295" s="2">
        <v>7</v>
      </c>
      <c r="C4295" s="2" t="s">
        <v>3294</v>
      </c>
      <c r="D4295" s="2" t="s">
        <v>3272</v>
      </c>
      <c r="E4295" s="2" t="s">
        <v>108</v>
      </c>
      <c r="F4295" s="2" t="s">
        <v>477</v>
      </c>
      <c r="H4295" s="2" t="s">
        <v>290</v>
      </c>
      <c r="I4295" s="2" t="s">
        <v>3288</v>
      </c>
      <c r="L4295" s="2" t="s">
        <v>293</v>
      </c>
      <c r="M4295" s="2" t="s">
        <v>80</v>
      </c>
      <c r="O4295" s="2" t="s">
        <v>3289</v>
      </c>
      <c r="P4295" s="2" t="s">
        <v>72</v>
      </c>
      <c r="Q4295" s="2" t="s">
        <v>3273</v>
      </c>
      <c r="R4295" s="2" t="s">
        <v>307</v>
      </c>
      <c r="S4295" s="13">
        <v>1</v>
      </c>
      <c r="T4295" s="14">
        <v>220</v>
      </c>
      <c r="U4295" s="2">
        <f t="shared" si="741"/>
        <v>50.6</v>
      </c>
      <c r="V4295" s="12">
        <f t="shared" si="742"/>
        <v>270.60000000000002</v>
      </c>
      <c r="W4295" s="2">
        <v>119.95</v>
      </c>
      <c r="X4295" s="5">
        <f t="shared" si="743"/>
        <v>0.45477272727272727</v>
      </c>
      <c r="Z4295" s="2" t="s">
        <v>3226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740"/>
        <v>100.05</v>
      </c>
      <c r="AL4295" s="5">
        <f t="shared" si="744"/>
        <v>0.45477272727272727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3272</v>
      </c>
      <c r="E4296" s="2" t="s">
        <v>108</v>
      </c>
      <c r="F4296" s="2" t="s">
        <v>477</v>
      </c>
      <c r="H4296" s="2" t="s">
        <v>290</v>
      </c>
      <c r="I4296" s="2" t="s">
        <v>3288</v>
      </c>
      <c r="L4296" s="2" t="s">
        <v>293</v>
      </c>
      <c r="M4296" s="2" t="s">
        <v>80</v>
      </c>
      <c r="O4296" s="2" t="s">
        <v>3289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741"/>
        <v>0.34040000000000004</v>
      </c>
      <c r="V4296" s="12">
        <f t="shared" si="742"/>
        <v>1.8204</v>
      </c>
      <c r="W4296" s="2">
        <v>1.48</v>
      </c>
      <c r="X4296" s="5">
        <f t="shared" si="743"/>
        <v>0</v>
      </c>
      <c r="Z4296" s="2" t="s">
        <v>3226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740"/>
        <v>0</v>
      </c>
      <c r="AL4296" s="5">
        <f t="shared" si="744"/>
        <v>0</v>
      </c>
    </row>
    <row r="4297" spans="1:38" x14ac:dyDescent="0.2">
      <c r="A4297" s="2">
        <v>2026</v>
      </c>
      <c r="B4297" s="2">
        <v>7</v>
      </c>
      <c r="C4297" s="2" t="s">
        <v>3295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3283</v>
      </c>
      <c r="L4297" s="2" t="s">
        <v>133</v>
      </c>
      <c r="M4297" s="2" t="s">
        <v>109</v>
      </c>
      <c r="O4297" s="2" t="s">
        <v>3282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741"/>
        <v>2990</v>
      </c>
      <c r="V4297" s="12">
        <f t="shared" si="742"/>
        <v>15990</v>
      </c>
      <c r="W4297" s="2">
        <v>8765.42</v>
      </c>
      <c r="X4297" s="5">
        <f t="shared" si="743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740"/>
        <v>4234.58</v>
      </c>
      <c r="AL4297" s="5">
        <f t="shared" si="744"/>
        <v>0.32573692307692309</v>
      </c>
    </row>
    <row r="4298" spans="1:38" x14ac:dyDescent="0.2">
      <c r="A4298" s="2">
        <v>2026</v>
      </c>
      <c r="B4298" s="2">
        <v>7</v>
      </c>
      <c r="C4298" s="2" t="s">
        <v>3295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3283</v>
      </c>
      <c r="L4298" s="2" t="s">
        <v>133</v>
      </c>
      <c r="M4298" s="2" t="s">
        <v>109</v>
      </c>
      <c r="O4298" s="2" t="s">
        <v>3282</v>
      </c>
      <c r="P4298" s="2" t="s">
        <v>101</v>
      </c>
      <c r="Q4298" s="2" t="s">
        <v>3274</v>
      </c>
      <c r="R4298" s="2" t="s">
        <v>3275</v>
      </c>
      <c r="S4298" s="13">
        <v>1</v>
      </c>
      <c r="T4298" s="14">
        <v>6000</v>
      </c>
      <c r="U4298" s="2">
        <f t="shared" si="741"/>
        <v>1380</v>
      </c>
      <c r="V4298" s="12">
        <f t="shared" si="742"/>
        <v>7380</v>
      </c>
      <c r="W4298" s="2">
        <v>4221.5600000000004</v>
      </c>
      <c r="X4298" s="5">
        <f t="shared" si="743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740"/>
        <v>1778.4399999999996</v>
      </c>
      <c r="AL4298" s="5">
        <f t="shared" si="744"/>
        <v>0.2964066666666666</v>
      </c>
    </row>
    <row r="4299" spans="1:38" x14ac:dyDescent="0.2">
      <c r="A4299" s="2">
        <v>2026</v>
      </c>
      <c r="B4299" s="2">
        <v>7</v>
      </c>
      <c r="C4299" s="2" t="s">
        <v>3295</v>
      </c>
      <c r="D4299" s="2" t="s">
        <v>3099</v>
      </c>
      <c r="E4299" s="2" t="s">
        <v>38</v>
      </c>
      <c r="F4299" s="2" t="s">
        <v>39</v>
      </c>
      <c r="H4299" s="2" t="s">
        <v>109</v>
      </c>
      <c r="I4299" s="2" t="s">
        <v>3283</v>
      </c>
      <c r="L4299" s="2" t="s">
        <v>133</v>
      </c>
      <c r="M4299" s="2" t="s">
        <v>109</v>
      </c>
      <c r="O4299" s="2" t="s">
        <v>3282</v>
      </c>
      <c r="P4299" s="2" t="s">
        <v>101</v>
      </c>
      <c r="Q4299" s="2" t="s">
        <v>3276</v>
      </c>
      <c r="R4299" s="2" t="s">
        <v>3277</v>
      </c>
      <c r="S4299" s="13">
        <v>1</v>
      </c>
      <c r="T4299" s="14">
        <v>1000</v>
      </c>
      <c r="U4299" s="2">
        <f t="shared" si="741"/>
        <v>230</v>
      </c>
      <c r="V4299" s="12">
        <f t="shared" si="742"/>
        <v>1230</v>
      </c>
      <c r="W4299" s="2">
        <v>802.73</v>
      </c>
      <c r="X4299" s="5">
        <f t="shared" si="743"/>
        <v>0.19726999999999997</v>
      </c>
      <c r="Z4299" s="2" t="s">
        <v>104</v>
      </c>
      <c r="AA4299" s="2" t="s">
        <v>1111</v>
      </c>
      <c r="AB4299" s="2" t="s">
        <v>3281</v>
      </c>
      <c r="AC4299" s="2" t="s">
        <v>101</v>
      </c>
      <c r="AG4299" s="2">
        <v>802.73</v>
      </c>
      <c r="AK4299" s="2">
        <f t="shared" si="740"/>
        <v>197.26999999999998</v>
      </c>
      <c r="AL4299" s="5">
        <f t="shared" si="744"/>
        <v>0.19726999999999997</v>
      </c>
    </row>
    <row r="4300" spans="1:38" x14ac:dyDescent="0.2">
      <c r="A4300" s="2">
        <v>2026</v>
      </c>
      <c r="B4300" s="2">
        <v>7</v>
      </c>
      <c r="C4300" s="2" t="s">
        <v>3294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3280</v>
      </c>
      <c r="L4300" s="2" t="s">
        <v>339</v>
      </c>
      <c r="M4300" s="2" t="s">
        <v>40</v>
      </c>
      <c r="O4300" s="2" t="s">
        <v>3290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741"/>
        <v>13.8</v>
      </c>
      <c r="V4300" s="12">
        <f t="shared" si="742"/>
        <v>73.8</v>
      </c>
      <c r="W4300" s="2">
        <f>T4300*40%</f>
        <v>24</v>
      </c>
      <c r="X4300" s="5">
        <f t="shared" si="743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740"/>
        <v>36</v>
      </c>
      <c r="AL4300" s="5">
        <f t="shared" si="744"/>
        <v>0.6</v>
      </c>
    </row>
    <row r="4301" spans="1:38" x14ac:dyDescent="0.2">
      <c r="A4301" s="2">
        <v>2026</v>
      </c>
      <c r="B4301" s="2">
        <v>7</v>
      </c>
      <c r="C4301" s="2" t="s">
        <v>3438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3280</v>
      </c>
      <c r="L4301" s="2" t="s">
        <v>339</v>
      </c>
      <c r="M4301" s="2" t="s">
        <v>40</v>
      </c>
      <c r="O4301" s="2" t="s">
        <v>3290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741"/>
        <v>12.65</v>
      </c>
      <c r="V4301" s="12">
        <f t="shared" si="742"/>
        <v>67.650000000000006</v>
      </c>
      <c r="W4301" s="2">
        <f>T4301*50%</f>
        <v>27.5</v>
      </c>
      <c r="X4301" s="5">
        <f t="shared" si="743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740"/>
        <v>27.5</v>
      </c>
      <c r="AL4301" s="5">
        <f t="shared" si="744"/>
        <v>0.5</v>
      </c>
    </row>
    <row r="4302" spans="1:38" x14ac:dyDescent="0.2">
      <c r="A4302" s="2">
        <v>2026</v>
      </c>
      <c r="B4302" s="2">
        <v>7</v>
      </c>
      <c r="C4302" s="2" t="s">
        <v>3294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741"/>
        <v>160.839</v>
      </c>
      <c r="V4302" s="2">
        <f t="shared" si="742"/>
        <v>860.1389999999999</v>
      </c>
      <c r="W4302" s="2">
        <v>345.20339999999999</v>
      </c>
      <c r="X4302" s="5">
        <f t="shared" si="743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740"/>
        <v>354.09659999999997</v>
      </c>
      <c r="AL4302" s="5">
        <f t="shared" si="744"/>
        <v>0.50635864435864431</v>
      </c>
    </row>
    <row r="4303" spans="1:38" x14ac:dyDescent="0.2">
      <c r="A4303" s="2">
        <v>2026</v>
      </c>
      <c r="B4303" s="2">
        <v>7</v>
      </c>
      <c r="C4303" s="2" t="s">
        <v>3294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741"/>
        <v>72.22</v>
      </c>
      <c r="V4303" s="2">
        <f t="shared" si="742"/>
        <v>386.22</v>
      </c>
      <c r="W4303" s="2">
        <f>T4303*40%</f>
        <v>125.60000000000001</v>
      </c>
      <c r="X4303" s="5">
        <f t="shared" si="743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740"/>
        <v>188.39999999999998</v>
      </c>
      <c r="AL4303" s="5">
        <f t="shared" si="744"/>
        <v>0.6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741"/>
        <v>12.65</v>
      </c>
      <c r="V4304" s="2">
        <f t="shared" si="742"/>
        <v>67.650000000000006</v>
      </c>
      <c r="W4304" s="2">
        <f>T4304*50%</f>
        <v>27.5</v>
      </c>
      <c r="X4304" s="5">
        <f t="shared" si="743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740"/>
        <v>27.5</v>
      </c>
      <c r="AL4304" s="5">
        <f t="shared" si="744"/>
        <v>0.5</v>
      </c>
    </row>
    <row r="4305" spans="1:38" x14ac:dyDescent="0.2">
      <c r="A4305" s="2">
        <v>2026</v>
      </c>
      <c r="B4305" s="2">
        <v>7</v>
      </c>
      <c r="C4305" s="2" t="s">
        <v>3295</v>
      </c>
      <c r="D4305" s="2" t="s">
        <v>3332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741"/>
        <v>13.8</v>
      </c>
      <c r="V4305" s="2">
        <f t="shared" si="742"/>
        <v>73.8</v>
      </c>
      <c r="W4305" s="2">
        <f>T4305*40%</f>
        <v>24</v>
      </c>
      <c r="X4305" s="5">
        <f t="shared" si="743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740"/>
        <v>36</v>
      </c>
      <c r="AL4305" s="5">
        <f t="shared" si="744"/>
        <v>0.6</v>
      </c>
    </row>
    <row r="4306" spans="1:38" x14ac:dyDescent="0.2">
      <c r="A4306" s="2">
        <v>2026</v>
      </c>
      <c r="B4306" s="2">
        <v>7</v>
      </c>
      <c r="C4306" s="2" t="s">
        <v>3295</v>
      </c>
      <c r="D4306" s="2" t="s">
        <v>3332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741"/>
        <v>12.65</v>
      </c>
      <c r="V4306" s="2">
        <f t="shared" si="742"/>
        <v>67.650000000000006</v>
      </c>
      <c r="W4306" s="2">
        <f>T4306*50%</f>
        <v>27.5</v>
      </c>
      <c r="X4306" s="5">
        <f t="shared" si="743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740"/>
        <v>27.5</v>
      </c>
      <c r="AL4306" s="5">
        <f t="shared" si="744"/>
        <v>0.5</v>
      </c>
    </row>
    <row r="4307" spans="1:38" x14ac:dyDescent="0.2">
      <c r="A4307" s="2">
        <v>2026</v>
      </c>
      <c r="B4307" s="2">
        <v>7</v>
      </c>
      <c r="C4307" s="2" t="s">
        <v>3294</v>
      </c>
      <c r="D4307" s="2" t="s">
        <v>3333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741"/>
        <v>50.6</v>
      </c>
      <c r="V4307" s="2">
        <f t="shared" si="742"/>
        <v>270.60000000000002</v>
      </c>
      <c r="W4307" s="2">
        <f>113.905+11.25</f>
        <v>125.155</v>
      </c>
      <c r="X4307" s="5">
        <f t="shared" si="743"/>
        <v>0.43111363636363637</v>
      </c>
      <c r="Z4307" s="2" t="s">
        <v>3226</v>
      </c>
      <c r="AA4307" s="2" t="s">
        <v>75</v>
      </c>
      <c r="AB4307" s="2" t="s">
        <v>76</v>
      </c>
      <c r="AC4307" s="2" t="s">
        <v>77</v>
      </c>
      <c r="AK4307" s="2">
        <f t="shared" si="740"/>
        <v>94.844999999999999</v>
      </c>
      <c r="AL4307" s="5">
        <f t="shared" si="744"/>
        <v>0.43111363636363637</v>
      </c>
    </row>
    <row r="4308" spans="1:38" x14ac:dyDescent="0.2">
      <c r="A4308" s="2">
        <v>2026</v>
      </c>
      <c r="B4308" s="2">
        <v>7</v>
      </c>
      <c r="C4308" s="2" t="s">
        <v>3294</v>
      </c>
      <c r="D4308" s="2" t="s">
        <v>3333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741"/>
        <v>0.34040000000000004</v>
      </c>
      <c r="V4308" s="2">
        <f t="shared" si="742"/>
        <v>1.8204</v>
      </c>
      <c r="W4308" s="2">
        <v>1.48</v>
      </c>
      <c r="X4308" s="5">
        <f t="shared" si="743"/>
        <v>0</v>
      </c>
      <c r="Z4308" s="2" t="s">
        <v>3226</v>
      </c>
      <c r="AA4308" s="2" t="s">
        <v>96</v>
      </c>
      <c r="AB4308" s="2" t="s">
        <v>76</v>
      </c>
      <c r="AC4308" s="2" t="s">
        <v>93</v>
      </c>
      <c r="AK4308" s="2">
        <f t="shared" si="740"/>
        <v>0</v>
      </c>
      <c r="AL4308" s="5">
        <f t="shared" si="744"/>
        <v>0</v>
      </c>
    </row>
    <row r="4309" spans="1:38" x14ac:dyDescent="0.2">
      <c r="A4309" s="2">
        <v>2026</v>
      </c>
      <c r="B4309" s="2">
        <v>7</v>
      </c>
      <c r="C4309" s="2" t="s">
        <v>3295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741"/>
        <v>145.82</v>
      </c>
      <c r="V4309" s="2">
        <f t="shared" si="742"/>
        <v>779.81999999999994</v>
      </c>
      <c r="W4309" s="2">
        <f>T4309*40%</f>
        <v>253.60000000000002</v>
      </c>
      <c r="X4309" s="5">
        <f t="shared" si="743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740"/>
        <v>380.4</v>
      </c>
      <c r="AL4309" s="5">
        <f t="shared" si="744"/>
        <v>0.6</v>
      </c>
    </row>
    <row r="4310" spans="1:38" x14ac:dyDescent="0.2">
      <c r="A4310" s="2">
        <v>2026</v>
      </c>
      <c r="B4310" s="2">
        <v>7</v>
      </c>
      <c r="C4310" s="2" t="s">
        <v>3295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741"/>
        <v>44.274999999999999</v>
      </c>
      <c r="V4310" s="2">
        <f t="shared" si="742"/>
        <v>236.77500000000001</v>
      </c>
      <c r="W4310" s="2">
        <f>T4310*50%</f>
        <v>96.25</v>
      </c>
      <c r="X4310" s="5">
        <f t="shared" si="743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740"/>
        <v>96.25</v>
      </c>
      <c r="AL4310" s="5">
        <f t="shared" si="744"/>
        <v>0.5</v>
      </c>
    </row>
    <row r="4311" spans="1:38" x14ac:dyDescent="0.2">
      <c r="A4311" s="2">
        <v>2026</v>
      </c>
      <c r="B4311" s="2">
        <v>7</v>
      </c>
      <c r="C4311" s="2" t="s">
        <v>3294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745">T4311*23%</f>
        <v>13.8</v>
      </c>
      <c r="V4311" s="2">
        <f t="shared" ref="V4311:V4342" si="746">T4311+U4311</f>
        <v>73.8</v>
      </c>
      <c r="W4311" s="2">
        <f>T4311*40%</f>
        <v>24</v>
      </c>
      <c r="X4311" s="5">
        <f t="shared" ref="X4311:X4329" si="747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740"/>
        <v>36</v>
      </c>
      <c r="AL4311" s="5">
        <f t="shared" ref="AL4311:AL4329" si="748">(T4311-W4311)/T4311</f>
        <v>0.6</v>
      </c>
    </row>
    <row r="4312" spans="1:38" x14ac:dyDescent="0.2">
      <c r="A4312" s="2">
        <v>2026</v>
      </c>
      <c r="B4312" s="2">
        <v>7</v>
      </c>
      <c r="C4312" s="2" t="s">
        <v>3294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745"/>
        <v>18.975000000000001</v>
      </c>
      <c r="V4312" s="2">
        <f t="shared" si="746"/>
        <v>101.47499999999999</v>
      </c>
      <c r="W4312" s="2">
        <f>T4312*50%</f>
        <v>41.25</v>
      </c>
      <c r="X4312" s="5">
        <f t="shared" si="747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740"/>
        <v>41.25</v>
      </c>
      <c r="AL4312" s="5">
        <f t="shared" si="748"/>
        <v>0.5</v>
      </c>
    </row>
    <row r="4313" spans="1:38" x14ac:dyDescent="0.2">
      <c r="A4313" s="2">
        <v>2026</v>
      </c>
      <c r="B4313" s="2">
        <v>7</v>
      </c>
      <c r="C4313" s="2" t="s">
        <v>3294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745"/>
        <v>18.278100000000002</v>
      </c>
      <c r="V4313" s="2">
        <f t="shared" si="746"/>
        <v>97.748099999999994</v>
      </c>
      <c r="W4313" s="2">
        <v>25.2</v>
      </c>
      <c r="X4313" s="5">
        <f t="shared" si="747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740"/>
        <v>54.269999999999996</v>
      </c>
      <c r="AL4313" s="5">
        <f t="shared" si="748"/>
        <v>0.68289920724801811</v>
      </c>
    </row>
    <row r="4314" spans="1:38" x14ac:dyDescent="0.2">
      <c r="A4314" s="2">
        <v>2026</v>
      </c>
      <c r="B4314" s="2">
        <v>7</v>
      </c>
      <c r="C4314" s="2" t="s">
        <v>3294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3344</v>
      </c>
      <c r="R4314" s="15" t="s">
        <v>3345</v>
      </c>
      <c r="S4314" s="13">
        <v>1</v>
      </c>
      <c r="T4314" s="14">
        <v>280</v>
      </c>
      <c r="U4314" s="2">
        <f t="shared" si="745"/>
        <v>64.400000000000006</v>
      </c>
      <c r="V4314" s="2">
        <f t="shared" si="746"/>
        <v>344.4</v>
      </c>
      <c r="W4314" s="2">
        <f>144.32+16.82</f>
        <v>161.13999999999999</v>
      </c>
      <c r="X4314" s="5">
        <f t="shared" si="747"/>
        <v>0.42450000000000004</v>
      </c>
      <c r="Z4314" s="2" t="s">
        <v>3226</v>
      </c>
      <c r="AA4314" s="2" t="s">
        <v>75</v>
      </c>
      <c r="AB4314" s="2" t="s">
        <v>76</v>
      </c>
      <c r="AC4314" s="2" t="s">
        <v>1038</v>
      </c>
      <c r="AK4314" s="2">
        <f t="shared" si="740"/>
        <v>118.86000000000001</v>
      </c>
      <c r="AL4314" s="5">
        <f t="shared" si="748"/>
        <v>0.42450000000000004</v>
      </c>
    </row>
    <row r="4315" spans="1:38" x14ac:dyDescent="0.2">
      <c r="A4315" s="2">
        <v>2026</v>
      </c>
      <c r="B4315" s="2">
        <v>7</v>
      </c>
      <c r="C4315" s="2" t="s">
        <v>3294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745"/>
        <v>0.34040000000000004</v>
      </c>
      <c r="V4315" s="2">
        <f t="shared" si="746"/>
        <v>1.8204</v>
      </c>
      <c r="W4315" s="2">
        <v>1.48</v>
      </c>
      <c r="X4315" s="5">
        <f t="shared" si="747"/>
        <v>0</v>
      </c>
      <c r="Z4315" s="2" t="s">
        <v>3226</v>
      </c>
      <c r="AA4315" s="2" t="s">
        <v>96</v>
      </c>
      <c r="AB4315" s="2" t="s">
        <v>76</v>
      </c>
      <c r="AC4315" s="2" t="s">
        <v>93</v>
      </c>
      <c r="AK4315" s="2">
        <f t="shared" si="740"/>
        <v>0</v>
      </c>
      <c r="AL4315" s="5">
        <f t="shared" si="748"/>
        <v>0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2996</v>
      </c>
      <c r="R4316" s="15" t="s">
        <v>2997</v>
      </c>
      <c r="S4316" s="13">
        <v>1</v>
      </c>
      <c r="T4316" s="14">
        <v>1190</v>
      </c>
      <c r="U4316" s="2">
        <f t="shared" si="745"/>
        <v>273.7</v>
      </c>
      <c r="V4316" s="2">
        <f t="shared" si="746"/>
        <v>1463.7</v>
      </c>
      <c r="W4316" s="2">
        <v>773.5</v>
      </c>
      <c r="X4316" s="5">
        <f t="shared" si="747"/>
        <v>0.35</v>
      </c>
      <c r="Z4316" s="2" t="s">
        <v>117</v>
      </c>
      <c r="AA4316" s="2" t="s">
        <v>181</v>
      </c>
      <c r="AB4316" s="2" t="s">
        <v>3380</v>
      </c>
      <c r="AC4316" s="2" t="s">
        <v>1327</v>
      </c>
      <c r="AK4316" s="2">
        <f t="shared" si="740"/>
        <v>416.5</v>
      </c>
      <c r="AL4316" s="5">
        <f t="shared" si="748"/>
        <v>0.35</v>
      </c>
    </row>
    <row r="4317" spans="1:38" x14ac:dyDescent="0.2">
      <c r="A4317" s="2">
        <v>2026</v>
      </c>
      <c r="B4317" s="2">
        <v>7</v>
      </c>
      <c r="C4317" s="2" t="s">
        <v>3294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745"/>
        <v>41.4</v>
      </c>
      <c r="V4317" s="2">
        <f t="shared" si="746"/>
        <v>221.4</v>
      </c>
      <c r="W4317" s="2">
        <v>125.51600000000001</v>
      </c>
      <c r="X4317" s="5">
        <f t="shared" si="747"/>
        <v>0.30268888888888884</v>
      </c>
      <c r="Z4317" s="2" t="s">
        <v>3226</v>
      </c>
      <c r="AA4317" s="2" t="s">
        <v>75</v>
      </c>
      <c r="AB4317" s="2" t="s">
        <v>76</v>
      </c>
      <c r="AC4317" s="2" t="s">
        <v>77</v>
      </c>
      <c r="AK4317" s="2">
        <f t="shared" si="740"/>
        <v>54.483999999999995</v>
      </c>
      <c r="AL4317" s="5">
        <f t="shared" si="748"/>
        <v>0.30268888888888884</v>
      </c>
    </row>
    <row r="4318" spans="1:38" x14ac:dyDescent="0.2">
      <c r="A4318" s="2">
        <v>2026</v>
      </c>
      <c r="B4318" s="2">
        <v>7</v>
      </c>
      <c r="C4318" s="2" t="s">
        <v>3294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745"/>
        <v>0.34040000000000004</v>
      </c>
      <c r="V4318" s="2">
        <f t="shared" si="746"/>
        <v>1.8204</v>
      </c>
      <c r="W4318" s="2">
        <v>1.48</v>
      </c>
      <c r="X4318" s="5">
        <f t="shared" si="747"/>
        <v>0</v>
      </c>
      <c r="Z4318" s="2" t="s">
        <v>3226</v>
      </c>
      <c r="AA4318" s="2" t="s">
        <v>96</v>
      </c>
      <c r="AB4318" s="2" t="s">
        <v>76</v>
      </c>
      <c r="AC4318" s="2" t="s">
        <v>93</v>
      </c>
      <c r="AK4318" s="2">
        <f t="shared" si="740"/>
        <v>0</v>
      </c>
      <c r="AL4318" s="5">
        <f t="shared" si="748"/>
        <v>0</v>
      </c>
    </row>
    <row r="4319" spans="1:38" x14ac:dyDescent="0.2">
      <c r="A4319" s="2">
        <v>2026</v>
      </c>
      <c r="B4319" s="2">
        <v>7</v>
      </c>
      <c r="C4319" s="2" t="s">
        <v>3294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745"/>
        <v>52.900000000000006</v>
      </c>
      <c r="V4319" s="2">
        <f t="shared" si="746"/>
        <v>282.89999999999998</v>
      </c>
      <c r="W4319" s="2">
        <v>135.68</v>
      </c>
      <c r="X4319" s="5">
        <f t="shared" si="747"/>
        <v>0.4100869565217391</v>
      </c>
      <c r="Z4319" s="2" t="s">
        <v>3226</v>
      </c>
      <c r="AA4319" s="2" t="s">
        <v>75</v>
      </c>
      <c r="AB4319" s="2" t="s">
        <v>76</v>
      </c>
      <c r="AC4319" s="2" t="s">
        <v>77</v>
      </c>
      <c r="AK4319" s="2">
        <f t="shared" si="740"/>
        <v>94.32</v>
      </c>
      <c r="AL4319" s="5">
        <f t="shared" si="748"/>
        <v>0.4100869565217391</v>
      </c>
    </row>
    <row r="4320" spans="1:38" x14ac:dyDescent="0.2">
      <c r="A4320" s="2">
        <v>2026</v>
      </c>
      <c r="B4320" s="2">
        <v>7</v>
      </c>
      <c r="C4320" s="2" t="s">
        <v>3294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745"/>
        <v>0.34040000000000004</v>
      </c>
      <c r="V4320" s="2">
        <f t="shared" si="746"/>
        <v>1.8204</v>
      </c>
      <c r="W4320" s="2">
        <v>1.48</v>
      </c>
      <c r="X4320" s="5">
        <f t="shared" si="747"/>
        <v>0</v>
      </c>
      <c r="Z4320" s="2" t="s">
        <v>3226</v>
      </c>
      <c r="AA4320" s="2" t="s">
        <v>96</v>
      </c>
      <c r="AB4320" s="2" t="s">
        <v>76</v>
      </c>
      <c r="AC4320" s="2" t="s">
        <v>93</v>
      </c>
      <c r="AK4320" s="2">
        <f t="shared" si="740"/>
        <v>0</v>
      </c>
      <c r="AL4320" s="5">
        <f t="shared" si="748"/>
        <v>0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3346</v>
      </c>
      <c r="R4321" s="15" t="s">
        <v>3347</v>
      </c>
      <c r="S4321" s="13">
        <v>1</v>
      </c>
      <c r="T4321" s="14">
        <v>37.6</v>
      </c>
      <c r="U4321" s="2">
        <f t="shared" si="745"/>
        <v>8.6480000000000015</v>
      </c>
      <c r="V4321" s="2">
        <f t="shared" si="746"/>
        <v>46.248000000000005</v>
      </c>
      <c r="W4321" s="2">
        <v>21.71</v>
      </c>
      <c r="X4321" s="5">
        <f t="shared" si="747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740"/>
        <v>15.89</v>
      </c>
      <c r="AL4321" s="5">
        <f t="shared" si="748"/>
        <v>0.42260638297872338</v>
      </c>
    </row>
    <row r="4322" spans="1:38" x14ac:dyDescent="0.2">
      <c r="A4322" s="2">
        <v>2026</v>
      </c>
      <c r="B4322" s="2">
        <v>7</v>
      </c>
      <c r="C4322" s="2" t="s">
        <v>3294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745"/>
        <v>13.8</v>
      </c>
      <c r="V4322" s="2">
        <f t="shared" si="746"/>
        <v>73.8</v>
      </c>
      <c r="W4322" s="2">
        <f>T4322*40%</f>
        <v>24</v>
      </c>
      <c r="X4322" s="5">
        <f t="shared" si="747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740"/>
        <v>36</v>
      </c>
      <c r="AL4322" s="5">
        <f t="shared" si="748"/>
        <v>0.6</v>
      </c>
    </row>
    <row r="4323" spans="1:38" x14ac:dyDescent="0.2">
      <c r="A4323" s="2">
        <v>2026</v>
      </c>
      <c r="B4323" s="2">
        <v>7</v>
      </c>
      <c r="C4323" s="2" t="s">
        <v>3294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745"/>
        <v>12.65</v>
      </c>
      <c r="V4323" s="2">
        <f t="shared" si="746"/>
        <v>67.650000000000006</v>
      </c>
      <c r="W4323" s="2">
        <f>T4323*50%</f>
        <v>27.5</v>
      </c>
      <c r="X4323" s="5">
        <f t="shared" si="747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740"/>
        <v>27.5</v>
      </c>
      <c r="AL4323" s="5">
        <f t="shared" si="748"/>
        <v>0.5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745"/>
        <v>1.84</v>
      </c>
      <c r="V4324" s="2">
        <f t="shared" si="746"/>
        <v>9.84</v>
      </c>
      <c r="W4324" s="2">
        <v>6</v>
      </c>
      <c r="X4324" s="5">
        <f t="shared" si="747"/>
        <v>0.25</v>
      </c>
      <c r="Z4324" s="2" t="s">
        <v>169</v>
      </c>
      <c r="AA4324" s="2" t="s">
        <v>169</v>
      </c>
      <c r="AK4324" s="2">
        <f t="shared" si="740"/>
        <v>2</v>
      </c>
      <c r="AL4324" s="5">
        <f t="shared" si="748"/>
        <v>0.25</v>
      </c>
    </row>
    <row r="4325" spans="1:38" x14ac:dyDescent="0.2">
      <c r="A4325" s="2">
        <v>2026</v>
      </c>
      <c r="B4325" s="2">
        <v>7</v>
      </c>
      <c r="C4325" s="2" t="s">
        <v>3294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3273</v>
      </c>
      <c r="R4325" s="15" t="s">
        <v>307</v>
      </c>
      <c r="S4325" s="13">
        <v>1</v>
      </c>
      <c r="T4325" s="14">
        <v>240</v>
      </c>
      <c r="U4325" s="2">
        <f t="shared" si="745"/>
        <v>55.2</v>
      </c>
      <c r="V4325" s="2">
        <f t="shared" si="746"/>
        <v>295.2</v>
      </c>
      <c r="W4325" s="2">
        <v>119.95</v>
      </c>
      <c r="X4325" s="5">
        <f t="shared" si="747"/>
        <v>0.50020833333333337</v>
      </c>
      <c r="Z4325" s="2" t="s">
        <v>3226</v>
      </c>
      <c r="AA4325" s="2" t="s">
        <v>75</v>
      </c>
      <c r="AB4325" s="2" t="s">
        <v>76</v>
      </c>
      <c r="AC4325" s="2" t="s">
        <v>77</v>
      </c>
      <c r="AK4325" s="2">
        <f t="shared" si="740"/>
        <v>120.05</v>
      </c>
      <c r="AL4325" s="5">
        <f t="shared" si="748"/>
        <v>0.50020833333333337</v>
      </c>
    </row>
    <row r="4326" spans="1:38" x14ac:dyDescent="0.2">
      <c r="A4326" s="2">
        <v>2026</v>
      </c>
      <c r="B4326" s="2">
        <v>7</v>
      </c>
      <c r="C4326" s="2" t="s">
        <v>3294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745"/>
        <v>0.34040000000000004</v>
      </c>
      <c r="V4326" s="2">
        <f t="shared" si="746"/>
        <v>1.8204</v>
      </c>
      <c r="W4326" s="2">
        <v>1.48</v>
      </c>
      <c r="X4326" s="5">
        <f t="shared" si="747"/>
        <v>0</v>
      </c>
      <c r="Z4326" s="2" t="s">
        <v>3226</v>
      </c>
      <c r="AA4326" s="2" t="s">
        <v>96</v>
      </c>
      <c r="AB4326" s="2" t="s">
        <v>76</v>
      </c>
      <c r="AC4326" s="2" t="s">
        <v>93</v>
      </c>
      <c r="AK4326" s="2">
        <f t="shared" si="740"/>
        <v>0</v>
      </c>
      <c r="AL4326" s="5">
        <f t="shared" si="748"/>
        <v>0</v>
      </c>
    </row>
    <row r="4327" spans="1:38" x14ac:dyDescent="0.2">
      <c r="A4327" s="2">
        <v>2026</v>
      </c>
      <c r="B4327" s="2">
        <v>7</v>
      </c>
      <c r="C4327" s="2" t="s">
        <v>3294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745"/>
        <v>46</v>
      </c>
      <c r="V4327" s="2">
        <f t="shared" si="746"/>
        <v>246</v>
      </c>
      <c r="W4327" s="2">
        <v>124.6</v>
      </c>
      <c r="X4327" s="5">
        <f t="shared" si="747"/>
        <v>0.377</v>
      </c>
      <c r="Z4327" s="2" t="s">
        <v>3226</v>
      </c>
      <c r="AA4327" s="2" t="s">
        <v>75</v>
      </c>
      <c r="AB4327" s="2" t="s">
        <v>76</v>
      </c>
      <c r="AC4327" s="2" t="s">
        <v>77</v>
      </c>
      <c r="AK4327" s="2">
        <f t="shared" si="740"/>
        <v>75.400000000000006</v>
      </c>
      <c r="AL4327" s="5">
        <f t="shared" si="748"/>
        <v>0.377</v>
      </c>
    </row>
    <row r="4328" spans="1:38" x14ac:dyDescent="0.2">
      <c r="A4328" s="2">
        <v>2026</v>
      </c>
      <c r="B4328" s="2">
        <v>7</v>
      </c>
      <c r="C4328" s="2" t="s">
        <v>3294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745"/>
        <v>0.34040000000000004</v>
      </c>
      <c r="V4328" s="2">
        <f t="shared" si="746"/>
        <v>1.8204</v>
      </c>
      <c r="W4328" s="2">
        <v>1.48</v>
      </c>
      <c r="X4328" s="5">
        <f t="shared" si="747"/>
        <v>0</v>
      </c>
      <c r="Z4328" s="2" t="s">
        <v>3226</v>
      </c>
      <c r="AA4328" s="2" t="s">
        <v>96</v>
      </c>
      <c r="AB4328" s="2" t="s">
        <v>76</v>
      </c>
      <c r="AC4328" s="2" t="s">
        <v>93</v>
      </c>
      <c r="AK4328" s="2">
        <f t="shared" si="740"/>
        <v>0</v>
      </c>
      <c r="AL4328" s="5">
        <f t="shared" si="748"/>
        <v>0</v>
      </c>
    </row>
    <row r="4329" spans="1:38" x14ac:dyDescent="0.2">
      <c r="A4329" s="2">
        <v>2026</v>
      </c>
      <c r="B4329" s="2">
        <v>7</v>
      </c>
      <c r="C4329" s="2" t="s">
        <v>3294</v>
      </c>
      <c r="D4329" s="15" t="s">
        <v>3334</v>
      </c>
      <c r="E4329" s="2" t="s">
        <v>3376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745"/>
        <v>460</v>
      </c>
      <c r="V4329" s="2">
        <f t="shared" si="746"/>
        <v>2460</v>
      </c>
      <c r="W4329" s="2">
        <v>1150</v>
      </c>
      <c r="X4329" s="5">
        <f t="shared" si="747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40"/>
        <v>850</v>
      </c>
      <c r="AL4329" s="5">
        <f t="shared" si="748"/>
        <v>0.42499999999999999</v>
      </c>
    </row>
    <row r="4330" spans="1:38" x14ac:dyDescent="0.2">
      <c r="A4330" s="2">
        <v>2026</v>
      </c>
      <c r="B4330" s="2">
        <v>7</v>
      </c>
      <c r="C4330" s="2" t="s">
        <v>3294</v>
      </c>
      <c r="D4330" s="15" t="s">
        <v>3334</v>
      </c>
      <c r="E4330" s="2" t="s">
        <v>3376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745"/>
        <v>0</v>
      </c>
      <c r="V4330" s="2">
        <f t="shared" si="746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40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3294</v>
      </c>
      <c r="D4331" s="15" t="s">
        <v>3334</v>
      </c>
      <c r="E4331" s="2" t="s">
        <v>3376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745"/>
        <v>0</v>
      </c>
      <c r="V4331" s="2">
        <f t="shared" si="746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740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3294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3348</v>
      </c>
      <c r="R4332" s="15" t="s">
        <v>74</v>
      </c>
      <c r="S4332" s="13">
        <v>1</v>
      </c>
      <c r="T4332" s="14">
        <v>270</v>
      </c>
      <c r="U4332" s="2">
        <f t="shared" si="745"/>
        <v>62.1</v>
      </c>
      <c r="V4332" s="2">
        <f t="shared" si="746"/>
        <v>332.1</v>
      </c>
      <c r="W4332" s="2">
        <f>118.44+11.7</f>
        <v>130.13999999999999</v>
      </c>
      <c r="X4332" s="5">
        <f t="shared" ref="X4332:X4356" si="749">(T4332-W4332)/T4332</f>
        <v>0.51800000000000002</v>
      </c>
      <c r="Z4332" s="2" t="s">
        <v>3226</v>
      </c>
      <c r="AA4332" s="2" t="s">
        <v>75</v>
      </c>
      <c r="AB4332" s="2" t="s">
        <v>76</v>
      </c>
      <c r="AC4332" s="2" t="s">
        <v>77</v>
      </c>
      <c r="AK4332" s="2">
        <f t="shared" si="740"/>
        <v>139.86000000000001</v>
      </c>
      <c r="AL4332" s="5">
        <f t="shared" ref="AL4332:AL4356" si="750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3294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745"/>
        <v>0.34040000000000004</v>
      </c>
      <c r="V4333" s="2">
        <f t="shared" si="746"/>
        <v>1.8204</v>
      </c>
      <c r="W4333" s="2">
        <v>1.48</v>
      </c>
      <c r="X4333" s="5">
        <f t="shared" si="749"/>
        <v>0</v>
      </c>
      <c r="Z4333" s="2" t="s">
        <v>3226</v>
      </c>
      <c r="AA4333" s="2" t="s">
        <v>96</v>
      </c>
      <c r="AB4333" s="2" t="s">
        <v>76</v>
      </c>
      <c r="AC4333" s="2" t="s">
        <v>93</v>
      </c>
      <c r="AK4333" s="2">
        <f t="shared" si="740"/>
        <v>0</v>
      </c>
      <c r="AL4333" s="5">
        <f t="shared" si="750"/>
        <v>0</v>
      </c>
    </row>
    <row r="4334" spans="1:38" x14ac:dyDescent="0.2">
      <c r="A4334" s="2">
        <v>2026</v>
      </c>
      <c r="B4334" s="2">
        <v>7</v>
      </c>
      <c r="C4334" s="2" t="s">
        <v>3294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745"/>
        <v>16.79</v>
      </c>
      <c r="V4334" s="2">
        <f t="shared" si="746"/>
        <v>89.789999999999992</v>
      </c>
      <c r="W4334" s="2">
        <f>T4334*40%</f>
        <v>29.200000000000003</v>
      </c>
      <c r="X4334" s="5">
        <f t="shared" si="749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740"/>
        <v>43.8</v>
      </c>
      <c r="AL4334" s="5">
        <f t="shared" si="750"/>
        <v>0.6</v>
      </c>
    </row>
    <row r="4335" spans="1:38" x14ac:dyDescent="0.2">
      <c r="A4335" s="2">
        <v>2026</v>
      </c>
      <c r="B4335" s="2">
        <v>7</v>
      </c>
      <c r="C4335" s="2" t="s">
        <v>3294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745"/>
        <v>12.65</v>
      </c>
      <c r="V4335" s="2">
        <f t="shared" si="746"/>
        <v>67.650000000000006</v>
      </c>
      <c r="W4335" s="2">
        <f>T4335*50%</f>
        <v>27.5</v>
      </c>
      <c r="X4335" s="5">
        <f t="shared" si="749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740"/>
        <v>27.5</v>
      </c>
      <c r="AL4335" s="5">
        <f t="shared" si="750"/>
        <v>0.5</v>
      </c>
    </row>
    <row r="4336" spans="1:38" x14ac:dyDescent="0.2">
      <c r="A4336" s="2">
        <v>2026</v>
      </c>
      <c r="B4336" s="2">
        <v>7</v>
      </c>
      <c r="C4336" s="2" t="s">
        <v>3294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72</v>
      </c>
      <c r="Q4336" s="16" t="s">
        <v>3348</v>
      </c>
      <c r="R4336" s="15" t="s">
        <v>74</v>
      </c>
      <c r="S4336" s="13">
        <v>1</v>
      </c>
      <c r="T4336" s="14">
        <v>220</v>
      </c>
      <c r="U4336" s="2">
        <f t="shared" si="745"/>
        <v>50.6</v>
      </c>
      <c r="V4336" s="2">
        <f t="shared" si="746"/>
        <v>270.60000000000002</v>
      </c>
      <c r="W4336" s="2">
        <f>118.44+11.7</f>
        <v>130.13999999999999</v>
      </c>
      <c r="X4336" s="5">
        <f t="shared" si="749"/>
        <v>0.40845454545454551</v>
      </c>
      <c r="Z4336" s="2" t="s">
        <v>3226</v>
      </c>
      <c r="AA4336" s="2" t="s">
        <v>75</v>
      </c>
      <c r="AB4336" s="2" t="s">
        <v>76</v>
      </c>
      <c r="AC4336" s="2" t="s">
        <v>77</v>
      </c>
      <c r="AK4336" s="2">
        <f t="shared" si="740"/>
        <v>89.860000000000014</v>
      </c>
      <c r="AL4336" s="5">
        <f t="shared" si="750"/>
        <v>0.40845454545454551</v>
      </c>
    </row>
    <row r="4337" spans="1:38" x14ac:dyDescent="0.2">
      <c r="A4337" s="2">
        <v>2026</v>
      </c>
      <c r="B4337" s="2">
        <v>7</v>
      </c>
      <c r="C4337" s="2" t="s">
        <v>3294</v>
      </c>
      <c r="D4337" s="15" t="s">
        <v>1553</v>
      </c>
      <c r="E4337" s="2" t="s">
        <v>108</v>
      </c>
      <c r="F4337" s="2" t="s">
        <v>717</v>
      </c>
      <c r="G4337" s="2">
        <v>500975914</v>
      </c>
      <c r="H4337" s="2" t="s">
        <v>41</v>
      </c>
      <c r="I4337" s="2" t="s">
        <v>1554</v>
      </c>
      <c r="J4337" s="2" t="s">
        <v>1555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745"/>
        <v>0.34040000000000004</v>
      </c>
      <c r="V4337" s="2">
        <f t="shared" si="746"/>
        <v>1.8204</v>
      </c>
      <c r="W4337" s="2">
        <v>1.48</v>
      </c>
      <c r="X4337" s="5">
        <f t="shared" si="749"/>
        <v>0</v>
      </c>
      <c r="Z4337" s="2" t="s">
        <v>3226</v>
      </c>
      <c r="AA4337" s="2" t="s">
        <v>96</v>
      </c>
      <c r="AB4337" s="2" t="s">
        <v>76</v>
      </c>
      <c r="AC4337" s="2" t="s">
        <v>93</v>
      </c>
      <c r="AK4337" s="2">
        <f t="shared" si="740"/>
        <v>0</v>
      </c>
      <c r="AL4337" s="5">
        <f t="shared" si="750"/>
        <v>0</v>
      </c>
    </row>
    <row r="4338" spans="1:38" x14ac:dyDescent="0.2">
      <c r="A4338" s="2">
        <v>2026</v>
      </c>
      <c r="B4338" s="2">
        <v>7</v>
      </c>
      <c r="C4338" s="2" t="s">
        <v>3294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3349</v>
      </c>
      <c r="R4338" s="15" t="s">
        <v>3350</v>
      </c>
      <c r="S4338" s="13">
        <v>1</v>
      </c>
      <c r="T4338" s="14">
        <v>59.17</v>
      </c>
      <c r="U4338" s="2">
        <f t="shared" si="745"/>
        <v>13.609100000000002</v>
      </c>
      <c r="V4338" s="2">
        <f t="shared" si="746"/>
        <v>72.7791</v>
      </c>
      <c r="W4338" s="2">
        <v>28.25</v>
      </c>
      <c r="X4338" s="5">
        <f t="shared" si="749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740"/>
        <v>30.92</v>
      </c>
      <c r="AL4338" s="5">
        <f t="shared" si="750"/>
        <v>0.52256210917694779</v>
      </c>
    </row>
    <row r="4339" spans="1:38" x14ac:dyDescent="0.2">
      <c r="A4339" s="2">
        <v>2026</v>
      </c>
      <c r="B4339" s="2">
        <v>7</v>
      </c>
      <c r="C4339" s="2" t="s">
        <v>3294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745"/>
        <v>13.8</v>
      </c>
      <c r="V4339" s="2">
        <f t="shared" si="746"/>
        <v>73.8</v>
      </c>
      <c r="W4339" s="2">
        <f>T4339*40%</f>
        <v>24</v>
      </c>
      <c r="X4339" s="5">
        <f t="shared" si="749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740"/>
        <v>36</v>
      </c>
      <c r="AL4339" s="5">
        <f t="shared" si="750"/>
        <v>0.6</v>
      </c>
    </row>
    <row r="4340" spans="1:38" x14ac:dyDescent="0.2">
      <c r="A4340" s="2">
        <v>2026</v>
      </c>
      <c r="B4340" s="2">
        <v>7</v>
      </c>
      <c r="C4340" s="2" t="s">
        <v>3438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745"/>
        <v>12.65</v>
      </c>
      <c r="V4340" s="2">
        <f t="shared" si="746"/>
        <v>67.650000000000006</v>
      </c>
      <c r="W4340" s="2">
        <f>T4340*50%</f>
        <v>27.5</v>
      </c>
      <c r="X4340" s="5">
        <f t="shared" si="749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740"/>
        <v>27.5</v>
      </c>
      <c r="AL4340" s="5">
        <f t="shared" si="750"/>
        <v>0.5</v>
      </c>
    </row>
    <row r="4341" spans="1:38" x14ac:dyDescent="0.2">
      <c r="A4341" s="2">
        <v>2026</v>
      </c>
      <c r="B4341" s="2">
        <v>7</v>
      </c>
      <c r="C4341" s="2" t="s">
        <v>3438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745"/>
        <v>50.6</v>
      </c>
      <c r="V4341" s="2">
        <f t="shared" si="746"/>
        <v>270.60000000000002</v>
      </c>
      <c r="W4341" s="2">
        <v>125.51600000000001</v>
      </c>
      <c r="X4341" s="5">
        <f t="shared" si="749"/>
        <v>0.42947272727272723</v>
      </c>
      <c r="Z4341" s="2" t="s">
        <v>3226</v>
      </c>
      <c r="AA4341" s="2" t="s">
        <v>75</v>
      </c>
      <c r="AB4341" s="2" t="s">
        <v>76</v>
      </c>
      <c r="AC4341" s="2" t="s">
        <v>77</v>
      </c>
      <c r="AK4341" s="2">
        <f t="shared" ref="AK4341:AK4404" si="751">T4341-W4341</f>
        <v>94.483999999999995</v>
      </c>
      <c r="AL4341" s="5">
        <f t="shared" si="750"/>
        <v>0.42947272727272723</v>
      </c>
    </row>
    <row r="4342" spans="1:38" x14ac:dyDescent="0.2">
      <c r="A4342" s="2">
        <v>2026</v>
      </c>
      <c r="B4342" s="2">
        <v>7</v>
      </c>
      <c r="C4342" s="2" t="s">
        <v>3438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745"/>
        <v>0.34040000000000004</v>
      </c>
      <c r="V4342" s="2">
        <f t="shared" si="746"/>
        <v>1.8204</v>
      </c>
      <c r="W4342" s="2">
        <v>1.48</v>
      </c>
      <c r="X4342" s="5">
        <f t="shared" si="749"/>
        <v>0</v>
      </c>
      <c r="Z4342" s="2" t="s">
        <v>3226</v>
      </c>
      <c r="AA4342" s="2" t="s">
        <v>96</v>
      </c>
      <c r="AB4342" s="2" t="s">
        <v>76</v>
      </c>
      <c r="AC4342" s="2" t="s">
        <v>93</v>
      </c>
      <c r="AK4342" s="2">
        <f t="shared" si="751"/>
        <v>0</v>
      </c>
      <c r="AL4342" s="5">
        <f t="shared" si="750"/>
        <v>0</v>
      </c>
    </row>
    <row r="4343" spans="1:38" x14ac:dyDescent="0.2">
      <c r="A4343" s="2">
        <v>2026</v>
      </c>
      <c r="B4343" s="2">
        <v>7</v>
      </c>
      <c r="C4343" s="2" t="s">
        <v>3438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752">T4343*23%</f>
        <v>50.6</v>
      </c>
      <c r="V4343" s="2">
        <f t="shared" ref="V4343:V4374" si="753">T4343+U4343</f>
        <v>270.60000000000002</v>
      </c>
      <c r="W4343" s="2">
        <v>125.51600000000001</v>
      </c>
      <c r="X4343" s="5">
        <f t="shared" si="749"/>
        <v>0.42947272727272723</v>
      </c>
      <c r="Z4343" s="2" t="s">
        <v>3226</v>
      </c>
      <c r="AA4343" s="2" t="s">
        <v>75</v>
      </c>
      <c r="AB4343" s="2" t="s">
        <v>76</v>
      </c>
      <c r="AC4343" s="2" t="s">
        <v>77</v>
      </c>
      <c r="AK4343" s="2">
        <f t="shared" si="751"/>
        <v>94.483999999999995</v>
      </c>
      <c r="AL4343" s="5">
        <f t="shared" si="750"/>
        <v>0.42947272727272723</v>
      </c>
    </row>
    <row r="4344" spans="1:38" x14ac:dyDescent="0.2">
      <c r="A4344" s="2">
        <v>2026</v>
      </c>
      <c r="B4344" s="2">
        <v>7</v>
      </c>
      <c r="C4344" s="2" t="s">
        <v>3438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752"/>
        <v>0.34040000000000004</v>
      </c>
      <c r="V4344" s="2">
        <f t="shared" si="753"/>
        <v>1.8204</v>
      </c>
      <c r="W4344" s="2">
        <v>1.48</v>
      </c>
      <c r="X4344" s="5">
        <f t="shared" si="749"/>
        <v>0</v>
      </c>
      <c r="Z4344" s="2" t="s">
        <v>3226</v>
      </c>
      <c r="AA4344" s="2" t="s">
        <v>96</v>
      </c>
      <c r="AB4344" s="2" t="s">
        <v>76</v>
      </c>
      <c r="AC4344" s="2" t="s">
        <v>93</v>
      </c>
      <c r="AK4344" s="2">
        <f t="shared" si="751"/>
        <v>0</v>
      </c>
      <c r="AL4344" s="5">
        <f t="shared" si="750"/>
        <v>0</v>
      </c>
    </row>
    <row r="4345" spans="1:38" x14ac:dyDescent="0.2">
      <c r="A4345" s="2">
        <v>2026</v>
      </c>
      <c r="B4345" s="2">
        <v>7</v>
      </c>
      <c r="C4345" s="2" t="s">
        <v>3293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752"/>
        <v>116.99640000000001</v>
      </c>
      <c r="V4345" s="2">
        <f t="shared" si="753"/>
        <v>625.67640000000006</v>
      </c>
      <c r="W4345" s="2">
        <v>178.3383</v>
      </c>
      <c r="X4345" s="5">
        <f t="shared" si="749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51"/>
        <v>330.3417</v>
      </c>
      <c r="AL4345" s="5">
        <f t="shared" si="750"/>
        <v>0.64940964850200522</v>
      </c>
    </row>
    <row r="4346" spans="1:38" x14ac:dyDescent="0.2">
      <c r="A4346" s="2">
        <v>2026</v>
      </c>
      <c r="B4346" s="2">
        <v>7</v>
      </c>
      <c r="C4346" s="2" t="s">
        <v>3293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752"/>
        <v>20.851800000000001</v>
      </c>
      <c r="V4346" s="2">
        <f t="shared" si="753"/>
        <v>111.51179999999999</v>
      </c>
      <c r="W4346" s="2">
        <v>30.61</v>
      </c>
      <c r="X4346" s="5">
        <f t="shared" si="749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751"/>
        <v>60.05</v>
      </c>
      <c r="AL4346" s="5">
        <f t="shared" si="750"/>
        <v>0.66236487977057135</v>
      </c>
    </row>
    <row r="4347" spans="1:38" x14ac:dyDescent="0.2">
      <c r="A4347" s="2">
        <v>2026</v>
      </c>
      <c r="B4347" s="2">
        <v>7</v>
      </c>
      <c r="C4347" s="2" t="s">
        <v>3293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752"/>
        <v>84.64</v>
      </c>
      <c r="V4347" s="2">
        <f t="shared" si="753"/>
        <v>452.64</v>
      </c>
      <c r="W4347" s="2">
        <f>T4347*40%</f>
        <v>147.20000000000002</v>
      </c>
      <c r="X4347" s="5">
        <f t="shared" si="749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751"/>
        <v>220.79999999999998</v>
      </c>
      <c r="AL4347" s="5">
        <f t="shared" si="750"/>
        <v>0.6</v>
      </c>
    </row>
    <row r="4348" spans="1:38" x14ac:dyDescent="0.2">
      <c r="A4348" s="2">
        <v>2026</v>
      </c>
      <c r="B4348" s="2">
        <v>7</v>
      </c>
      <c r="C4348" s="2" t="s">
        <v>3293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752"/>
        <v>50.6</v>
      </c>
      <c r="V4348" s="2">
        <f t="shared" si="753"/>
        <v>270.60000000000002</v>
      </c>
      <c r="W4348" s="2">
        <f>T4348*50%</f>
        <v>110</v>
      </c>
      <c r="X4348" s="5">
        <f t="shared" si="749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751"/>
        <v>110</v>
      </c>
      <c r="AL4348" s="5">
        <f t="shared" si="750"/>
        <v>0.5</v>
      </c>
    </row>
    <row r="4349" spans="1:38" x14ac:dyDescent="0.2">
      <c r="A4349" s="2">
        <v>2026</v>
      </c>
      <c r="B4349" s="2">
        <v>7</v>
      </c>
      <c r="C4349" s="2" t="s">
        <v>3438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752"/>
        <v>17.25</v>
      </c>
      <c r="V4349" s="2">
        <f t="shared" si="753"/>
        <v>92.25</v>
      </c>
      <c r="W4349" s="2">
        <f>T4349*40%</f>
        <v>30</v>
      </c>
      <c r="X4349" s="5">
        <f t="shared" si="749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751"/>
        <v>45</v>
      </c>
      <c r="AL4349" s="5">
        <f t="shared" si="750"/>
        <v>0.6</v>
      </c>
    </row>
    <row r="4350" spans="1:38" x14ac:dyDescent="0.2">
      <c r="A4350" s="2">
        <v>2026</v>
      </c>
      <c r="B4350" s="2">
        <v>7</v>
      </c>
      <c r="C4350" s="2" t="s">
        <v>3438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752"/>
        <v>22.137499999999999</v>
      </c>
      <c r="V4350" s="2">
        <f t="shared" si="753"/>
        <v>118.3875</v>
      </c>
      <c r="W4350" s="2">
        <f>T4350*50%</f>
        <v>48.125</v>
      </c>
      <c r="X4350" s="5">
        <f t="shared" si="749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751"/>
        <v>48.125</v>
      </c>
      <c r="AL4350" s="5">
        <f t="shared" si="750"/>
        <v>0.5</v>
      </c>
    </row>
    <row r="4351" spans="1:38" x14ac:dyDescent="0.2">
      <c r="A4351" s="2">
        <v>2026</v>
      </c>
      <c r="B4351" s="2">
        <v>7</v>
      </c>
      <c r="C4351" s="2" t="s">
        <v>3438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752"/>
        <v>68.424999999999997</v>
      </c>
      <c r="V4351" s="2">
        <f t="shared" si="753"/>
        <v>365.92500000000001</v>
      </c>
      <c r="W4351" s="2">
        <f>T4351*70%</f>
        <v>208.25</v>
      </c>
      <c r="X4351" s="5">
        <f t="shared" si="749"/>
        <v>0.3</v>
      </c>
      <c r="Z4351" s="2" t="s">
        <v>119</v>
      </c>
      <c r="AA4351" s="2" t="s">
        <v>3379</v>
      </c>
      <c r="AK4351" s="2">
        <f t="shared" si="751"/>
        <v>89.25</v>
      </c>
      <c r="AL4351" s="5">
        <f t="shared" si="750"/>
        <v>0.3</v>
      </c>
    </row>
    <row r="4352" spans="1:38" x14ac:dyDescent="0.2">
      <c r="A4352" s="2">
        <v>2026</v>
      </c>
      <c r="B4352" s="2">
        <v>7</v>
      </c>
      <c r="C4352" s="2" t="s">
        <v>3295</v>
      </c>
      <c r="D4352" s="15" t="s">
        <v>3335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752"/>
        <v>115</v>
      </c>
      <c r="V4352" s="2">
        <f t="shared" si="753"/>
        <v>615</v>
      </c>
      <c r="W4352" s="2">
        <f>T4352*70%</f>
        <v>350</v>
      </c>
      <c r="X4352" s="5">
        <f t="shared" si="749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751"/>
        <v>150</v>
      </c>
      <c r="AL4352" s="5">
        <f t="shared" si="750"/>
        <v>0.3</v>
      </c>
    </row>
    <row r="4353" spans="1:38" x14ac:dyDescent="0.2">
      <c r="A4353" s="2">
        <v>2026</v>
      </c>
      <c r="B4353" s="2">
        <v>7</v>
      </c>
      <c r="C4353" s="2" t="s">
        <v>3293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752"/>
        <v>13.34</v>
      </c>
      <c r="V4353" s="2">
        <f t="shared" si="753"/>
        <v>71.34</v>
      </c>
      <c r="W4353" s="2">
        <f>14.5099*S4353</f>
        <v>29.0198</v>
      </c>
      <c r="X4353" s="5">
        <f t="shared" si="749"/>
        <v>0.49965862068965516</v>
      </c>
      <c r="Z4353" s="2" t="s">
        <v>3226</v>
      </c>
      <c r="AA4353" s="2" t="s">
        <v>46</v>
      </c>
      <c r="AB4353" s="2" t="s">
        <v>60</v>
      </c>
      <c r="AC4353" s="2" t="s">
        <v>3331</v>
      </c>
      <c r="AK4353" s="2">
        <f t="shared" si="751"/>
        <v>28.9802</v>
      </c>
      <c r="AL4353" s="5">
        <f t="shared" si="750"/>
        <v>0.49965862068965516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752"/>
        <v>22.080000000000002</v>
      </c>
      <c r="V4354" s="2">
        <f t="shared" si="753"/>
        <v>118.08</v>
      </c>
      <c r="W4354" s="2">
        <f>14.5099*S4354</f>
        <v>58.0396</v>
      </c>
      <c r="X4354" s="5">
        <f t="shared" si="749"/>
        <v>0.39542083333333333</v>
      </c>
      <c r="Z4354" s="2" t="s">
        <v>3226</v>
      </c>
      <c r="AA4354" s="2" t="s">
        <v>46</v>
      </c>
      <c r="AB4354" s="2" t="s">
        <v>60</v>
      </c>
      <c r="AC4354" s="2" t="s">
        <v>3331</v>
      </c>
      <c r="AK4354" s="2">
        <f t="shared" si="751"/>
        <v>37.9604</v>
      </c>
      <c r="AL4354" s="5">
        <f t="shared" si="750"/>
        <v>0.39542083333333333</v>
      </c>
    </row>
    <row r="4355" spans="1:38" x14ac:dyDescent="0.2">
      <c r="A4355" s="2">
        <v>2026</v>
      </c>
      <c r="B4355" s="2">
        <v>7</v>
      </c>
      <c r="C4355" s="2" t="s">
        <v>3294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752"/>
        <v>40.71</v>
      </c>
      <c r="V4355" s="2">
        <f t="shared" si="753"/>
        <v>217.71</v>
      </c>
      <c r="W4355" s="2">
        <f>T4355*40%</f>
        <v>70.8</v>
      </c>
      <c r="X4355" s="5">
        <f t="shared" si="749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751"/>
        <v>106.2</v>
      </c>
      <c r="AL4355" s="5">
        <f t="shared" si="750"/>
        <v>0.6</v>
      </c>
    </row>
    <row r="4356" spans="1:38" x14ac:dyDescent="0.2">
      <c r="A4356" s="2">
        <v>2026</v>
      </c>
      <c r="B4356" s="2">
        <v>7</v>
      </c>
      <c r="C4356" s="2" t="s">
        <v>3294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752"/>
        <v>12.65</v>
      </c>
      <c r="V4356" s="2">
        <f t="shared" si="753"/>
        <v>67.650000000000006</v>
      </c>
      <c r="W4356" s="2">
        <f>T4356*50%</f>
        <v>27.5</v>
      </c>
      <c r="X4356" s="5">
        <f t="shared" si="749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751"/>
        <v>27.5</v>
      </c>
      <c r="AL4356" s="5">
        <f t="shared" si="750"/>
        <v>0.5</v>
      </c>
    </row>
    <row r="4357" spans="1:38" x14ac:dyDescent="0.2">
      <c r="A4357" s="2">
        <v>2026</v>
      </c>
      <c r="B4357" s="2">
        <v>7</v>
      </c>
      <c r="C4357" s="2" t="s">
        <v>3294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752"/>
        <v>0</v>
      </c>
      <c r="V4357" s="2">
        <f t="shared" si="753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51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3294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752"/>
        <v>0</v>
      </c>
      <c r="V4358" s="2">
        <f t="shared" si="753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51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3294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3351</v>
      </c>
      <c r="R4359" s="15" t="s">
        <v>3352</v>
      </c>
      <c r="S4359" s="13">
        <v>1</v>
      </c>
      <c r="T4359" s="14">
        <v>12000</v>
      </c>
      <c r="U4359" s="2">
        <f t="shared" si="752"/>
        <v>2760</v>
      </c>
      <c r="V4359" s="2">
        <f t="shared" si="753"/>
        <v>14760</v>
      </c>
      <c r="W4359" s="2">
        <f>10440+150</f>
        <v>10590</v>
      </c>
      <c r="X4359" s="5">
        <f t="shared" ref="X4359:X4390" si="754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751"/>
        <v>1410</v>
      </c>
      <c r="AL4359" s="5">
        <f t="shared" ref="AL4359:AL4390" si="755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3294</v>
      </c>
      <c r="D4360" s="15" t="s">
        <v>3336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752"/>
        <v>43.7</v>
      </c>
      <c r="V4360" s="2">
        <f t="shared" si="753"/>
        <v>233.7</v>
      </c>
      <c r="W4360" s="2">
        <v>125.51600000000001</v>
      </c>
      <c r="X4360" s="5">
        <f t="shared" si="754"/>
        <v>0.33938947368421052</v>
      </c>
      <c r="Z4360" s="2" t="s">
        <v>3226</v>
      </c>
      <c r="AA4360" s="2" t="s">
        <v>75</v>
      </c>
      <c r="AB4360" s="2" t="s">
        <v>76</v>
      </c>
      <c r="AC4360" s="2" t="s">
        <v>77</v>
      </c>
      <c r="AK4360" s="2">
        <f t="shared" si="751"/>
        <v>64.483999999999995</v>
      </c>
      <c r="AL4360" s="5">
        <f t="shared" si="755"/>
        <v>0.33938947368421052</v>
      </c>
    </row>
    <row r="4361" spans="1:38" x14ac:dyDescent="0.2">
      <c r="A4361" s="2">
        <v>2026</v>
      </c>
      <c r="B4361" s="2">
        <v>7</v>
      </c>
      <c r="C4361" s="2" t="s">
        <v>3294</v>
      </c>
      <c r="D4361" s="15" t="s">
        <v>3336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752"/>
        <v>0.34040000000000004</v>
      </c>
      <c r="V4361" s="2">
        <f t="shared" si="753"/>
        <v>1.8204</v>
      </c>
      <c r="W4361" s="2">
        <v>1.48</v>
      </c>
      <c r="X4361" s="5">
        <f t="shared" si="754"/>
        <v>0</v>
      </c>
      <c r="Z4361" s="2" t="s">
        <v>3226</v>
      </c>
      <c r="AA4361" s="2" t="s">
        <v>96</v>
      </c>
      <c r="AB4361" s="2" t="s">
        <v>76</v>
      </c>
      <c r="AC4361" s="2" t="s">
        <v>93</v>
      </c>
      <c r="AK4361" s="2">
        <f t="shared" si="751"/>
        <v>0</v>
      </c>
      <c r="AL4361" s="5">
        <f t="shared" si="755"/>
        <v>0</v>
      </c>
    </row>
    <row r="4362" spans="1:38" x14ac:dyDescent="0.2">
      <c r="A4362" s="2">
        <v>2026</v>
      </c>
      <c r="B4362" s="2">
        <v>7</v>
      </c>
      <c r="C4362" s="2" t="s">
        <v>3294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752"/>
        <v>18.075700000000001</v>
      </c>
      <c r="V4362" s="2">
        <f t="shared" si="753"/>
        <v>96.665700000000001</v>
      </c>
      <c r="W4362" s="2">
        <f>36.2258</f>
        <v>36.2258</v>
      </c>
      <c r="X4362" s="5">
        <f t="shared" si="754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751"/>
        <v>42.364200000000004</v>
      </c>
      <c r="AL4362" s="5">
        <f t="shared" si="755"/>
        <v>0.53905331467107775</v>
      </c>
    </row>
    <row r="4363" spans="1:38" x14ac:dyDescent="0.2">
      <c r="A4363" s="2">
        <v>2026</v>
      </c>
      <c r="B4363" s="2">
        <v>7</v>
      </c>
      <c r="C4363" s="2" t="s">
        <v>3294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752"/>
        <v>1.61</v>
      </c>
      <c r="V4363" s="2">
        <f t="shared" si="753"/>
        <v>8.61</v>
      </c>
      <c r="W4363" s="2">
        <v>6</v>
      </c>
      <c r="X4363" s="5">
        <f t="shared" si="754"/>
        <v>0.14285714285714285</v>
      </c>
      <c r="Z4363" s="2" t="s">
        <v>169</v>
      </c>
      <c r="AA4363" s="2" t="s">
        <v>169</v>
      </c>
      <c r="AK4363" s="2">
        <f t="shared" si="751"/>
        <v>1</v>
      </c>
      <c r="AL4363" s="5">
        <f t="shared" si="755"/>
        <v>0.14285714285714285</v>
      </c>
    </row>
    <row r="4364" spans="1:38" x14ac:dyDescent="0.2">
      <c r="A4364" s="2">
        <v>2026</v>
      </c>
      <c r="B4364" s="2">
        <v>7</v>
      </c>
      <c r="C4364" s="2" t="s">
        <v>3294</v>
      </c>
      <c r="D4364" s="15" t="s">
        <v>3414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752"/>
        <v>368</v>
      </c>
      <c r="V4364" s="2">
        <f t="shared" si="753"/>
        <v>1968</v>
      </c>
      <c r="W4364" s="2">
        <v>1244.2445</v>
      </c>
      <c r="X4364" s="5">
        <f t="shared" si="754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751"/>
        <v>355.75549999999998</v>
      </c>
      <c r="AL4364" s="5">
        <f t="shared" si="755"/>
        <v>0.22234718749999999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3414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752"/>
        <v>1012</v>
      </c>
      <c r="V4365" s="2">
        <f t="shared" si="753"/>
        <v>5412</v>
      </c>
      <c r="W4365" s="2">
        <f>3229.76+112.87</f>
        <v>3342.63</v>
      </c>
      <c r="X4365" s="5">
        <f t="shared" si="754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751"/>
        <v>1057.3699999999999</v>
      </c>
      <c r="AL4365" s="5">
        <f t="shared" si="755"/>
        <v>0.2403113636363636</v>
      </c>
    </row>
    <row r="4366" spans="1:38" x14ac:dyDescent="0.2">
      <c r="A4366" s="2">
        <v>2026</v>
      </c>
      <c r="B4366" s="2">
        <v>7</v>
      </c>
      <c r="C4366" s="2" t="s">
        <v>3295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752"/>
        <v>13.510200000000001</v>
      </c>
      <c r="V4366" s="2">
        <f t="shared" si="753"/>
        <v>72.250200000000007</v>
      </c>
      <c r="W4366" s="2">
        <v>27.86</v>
      </c>
      <c r="X4366" s="5">
        <f t="shared" si="754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751"/>
        <v>30.880000000000003</v>
      </c>
      <c r="AL4366" s="5">
        <f t="shared" si="755"/>
        <v>0.52570650323459311</v>
      </c>
    </row>
    <row r="4367" spans="1:38" x14ac:dyDescent="0.2">
      <c r="A4367" s="2">
        <v>2026</v>
      </c>
      <c r="B4367" s="2">
        <v>7</v>
      </c>
      <c r="C4367" s="2" t="s">
        <v>3295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752"/>
        <v>12.65</v>
      </c>
      <c r="V4367" s="2">
        <f t="shared" si="753"/>
        <v>67.650000000000006</v>
      </c>
      <c r="W4367" s="2">
        <f>T4367*40%</f>
        <v>22</v>
      </c>
      <c r="X4367" s="5">
        <f t="shared" si="754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751"/>
        <v>33</v>
      </c>
      <c r="AL4367" s="5">
        <f t="shared" si="755"/>
        <v>0.6</v>
      </c>
    </row>
    <row r="4368" spans="1:38" x14ac:dyDescent="0.2">
      <c r="A4368" s="2">
        <v>2026</v>
      </c>
      <c r="B4368" s="2">
        <v>7</v>
      </c>
      <c r="C4368" s="2" t="s">
        <v>3295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752"/>
        <v>18.975000000000001</v>
      </c>
      <c r="V4368" s="2">
        <f t="shared" si="753"/>
        <v>101.47499999999999</v>
      </c>
      <c r="W4368" s="2">
        <f>T4368*50%</f>
        <v>41.25</v>
      </c>
      <c r="X4368" s="5">
        <f t="shared" si="754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751"/>
        <v>41.25</v>
      </c>
      <c r="AL4368" s="5">
        <f t="shared" si="755"/>
        <v>0.5</v>
      </c>
    </row>
    <row r="4369" spans="1:38" x14ac:dyDescent="0.2">
      <c r="A4369" s="2">
        <v>2026</v>
      </c>
      <c r="B4369" s="2">
        <v>7</v>
      </c>
      <c r="C4369" s="2" t="s">
        <v>3295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752"/>
        <v>2.1482000000000001</v>
      </c>
      <c r="V4369" s="2">
        <f t="shared" si="753"/>
        <v>11.488199999999999</v>
      </c>
      <c r="W4369" s="2">
        <f>T4369*70%</f>
        <v>6.5379999999999994</v>
      </c>
      <c r="X4369" s="5">
        <f t="shared" si="754"/>
        <v>0.30000000000000004</v>
      </c>
      <c r="Z4369" s="2" t="s">
        <v>119</v>
      </c>
      <c r="AA4369" s="2" t="s">
        <v>3379</v>
      </c>
      <c r="AK4369" s="2">
        <f t="shared" si="751"/>
        <v>2.8020000000000005</v>
      </c>
      <c r="AL4369" s="5">
        <f t="shared" si="755"/>
        <v>0.30000000000000004</v>
      </c>
    </row>
    <row r="4370" spans="1:38" x14ac:dyDescent="0.2">
      <c r="A4370" s="2">
        <v>2026</v>
      </c>
      <c r="B4370" s="2">
        <v>7</v>
      </c>
      <c r="C4370" s="2" t="s">
        <v>3295</v>
      </c>
      <c r="D4370" s="15" t="s">
        <v>3337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752"/>
        <v>160.839</v>
      </c>
      <c r="V4370" s="2">
        <f t="shared" si="753"/>
        <v>860.1389999999999</v>
      </c>
      <c r="W4370" s="2">
        <v>343.38580000000002</v>
      </c>
      <c r="X4370" s="5">
        <f t="shared" si="754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751"/>
        <v>355.91419999999994</v>
      </c>
      <c r="AL4370" s="5">
        <f t="shared" si="755"/>
        <v>0.50895781495781489</v>
      </c>
    </row>
    <row r="4371" spans="1:38" x14ac:dyDescent="0.2">
      <c r="A4371" s="2">
        <v>2026</v>
      </c>
      <c r="B4371" s="2">
        <v>7</v>
      </c>
      <c r="C4371" s="2" t="s">
        <v>3295</v>
      </c>
      <c r="D4371" s="15" t="s">
        <v>3337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752"/>
        <v>40.25</v>
      </c>
      <c r="V4371" s="2">
        <f t="shared" si="753"/>
        <v>215.25</v>
      </c>
      <c r="W4371" s="2">
        <f>T4371*40%</f>
        <v>70</v>
      </c>
      <c r="X4371" s="5">
        <f t="shared" si="754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751"/>
        <v>105</v>
      </c>
      <c r="AL4371" s="5">
        <f t="shared" si="755"/>
        <v>0.6</v>
      </c>
    </row>
    <row r="4372" spans="1:38" x14ac:dyDescent="0.2">
      <c r="A4372" s="2">
        <v>2026</v>
      </c>
      <c r="B4372" s="2">
        <v>7</v>
      </c>
      <c r="C4372" s="2" t="s">
        <v>3295</v>
      </c>
      <c r="D4372" s="15" t="s">
        <v>3337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752"/>
        <v>12.65</v>
      </c>
      <c r="V4372" s="2">
        <f t="shared" si="753"/>
        <v>67.650000000000006</v>
      </c>
      <c r="W4372" s="2">
        <f>T4372*50%</f>
        <v>27.5</v>
      </c>
      <c r="X4372" s="5">
        <f t="shared" si="754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751"/>
        <v>27.5</v>
      </c>
      <c r="AL4372" s="5">
        <f t="shared" si="755"/>
        <v>0.5</v>
      </c>
    </row>
    <row r="4373" spans="1:38" x14ac:dyDescent="0.2">
      <c r="A4373" s="2">
        <v>2026</v>
      </c>
      <c r="B4373" s="2">
        <v>7</v>
      </c>
      <c r="C4373" s="8" t="s">
        <v>3294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752"/>
        <v>2.99</v>
      </c>
      <c r="V4373" s="2">
        <f t="shared" si="753"/>
        <v>15.99</v>
      </c>
      <c r="W4373" s="2">
        <f>6.6267*S4373</f>
        <v>6.6266999999999996</v>
      </c>
      <c r="X4373" s="5">
        <f t="shared" si="754"/>
        <v>0.49025384615384621</v>
      </c>
      <c r="Z4373" s="2" t="s">
        <v>3226</v>
      </c>
      <c r="AA4373" s="2" t="s">
        <v>46</v>
      </c>
      <c r="AB4373" s="2" t="s">
        <v>47</v>
      </c>
      <c r="AC4373" s="2" t="s">
        <v>57</v>
      </c>
      <c r="AK4373" s="2">
        <f t="shared" si="751"/>
        <v>6.3733000000000004</v>
      </c>
      <c r="AL4373" s="5">
        <f t="shared" si="755"/>
        <v>0.49025384615384621</v>
      </c>
    </row>
    <row r="4374" spans="1:38" x14ac:dyDescent="0.2">
      <c r="A4374" s="2">
        <v>2026</v>
      </c>
      <c r="B4374" s="2">
        <v>7</v>
      </c>
      <c r="C4374" s="8" t="s">
        <v>3294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752"/>
        <v>8.2800000000000011</v>
      </c>
      <c r="V4374" s="2">
        <f t="shared" si="753"/>
        <v>44.28</v>
      </c>
      <c r="W4374" s="2">
        <f>10.6*S4374</f>
        <v>21.2</v>
      </c>
      <c r="X4374" s="5">
        <f t="shared" si="754"/>
        <v>0.41111111111111115</v>
      </c>
      <c r="Z4374" s="2" t="s">
        <v>3226</v>
      </c>
      <c r="AA4374" s="2" t="s">
        <v>46</v>
      </c>
      <c r="AB4374" s="2" t="s">
        <v>56</v>
      </c>
      <c r="AC4374" s="2" t="s">
        <v>57</v>
      </c>
      <c r="AK4374" s="2">
        <f t="shared" si="751"/>
        <v>14.8</v>
      </c>
      <c r="AL4374" s="5">
        <f t="shared" si="755"/>
        <v>0.41111111111111115</v>
      </c>
    </row>
    <row r="4375" spans="1:38" x14ac:dyDescent="0.2">
      <c r="A4375" s="2">
        <v>2026</v>
      </c>
      <c r="B4375" s="2">
        <v>7</v>
      </c>
      <c r="C4375" s="8" t="s">
        <v>3294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756">T4375*23%</f>
        <v>2.99</v>
      </c>
      <c r="V4375" s="2">
        <f t="shared" ref="V4375:V4406" si="757">T4375+U4375</f>
        <v>15.99</v>
      </c>
      <c r="W4375" s="2">
        <f>0.0914*S4375</f>
        <v>9.1399999999999988</v>
      </c>
      <c r="X4375" s="5">
        <f t="shared" si="754"/>
        <v>0.29692307692307701</v>
      </c>
      <c r="Z4375" s="2" t="s">
        <v>3226</v>
      </c>
      <c r="AA4375" s="2" t="s">
        <v>46</v>
      </c>
      <c r="AB4375" s="2" t="s">
        <v>60</v>
      </c>
      <c r="AC4375" s="2" t="s">
        <v>57</v>
      </c>
      <c r="AK4375" s="2">
        <f t="shared" si="751"/>
        <v>3.8600000000000012</v>
      </c>
      <c r="AL4375" s="5">
        <f t="shared" si="755"/>
        <v>0.29692307692307701</v>
      </c>
    </row>
    <row r="4376" spans="1:38" x14ac:dyDescent="0.2">
      <c r="A4376" s="2">
        <v>2026</v>
      </c>
      <c r="B4376" s="2">
        <v>7</v>
      </c>
      <c r="C4376" s="8" t="s">
        <v>3294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756"/>
        <v>1.84</v>
      </c>
      <c r="V4376" s="2">
        <f t="shared" si="757"/>
        <v>9.84</v>
      </c>
      <c r="W4376" s="2">
        <v>6</v>
      </c>
      <c r="X4376" s="5">
        <f t="shared" si="754"/>
        <v>0.25</v>
      </c>
      <c r="Z4376" s="2" t="s">
        <v>169</v>
      </c>
      <c r="AA4376" s="2" t="s">
        <v>169</v>
      </c>
      <c r="AK4376" s="2">
        <f t="shared" si="751"/>
        <v>2</v>
      </c>
      <c r="AL4376" s="5">
        <f t="shared" si="755"/>
        <v>0.25</v>
      </c>
    </row>
    <row r="4377" spans="1:38" x14ac:dyDescent="0.2">
      <c r="A4377" s="2">
        <v>2026</v>
      </c>
      <c r="B4377" s="2">
        <v>7</v>
      </c>
      <c r="C4377" s="2" t="s">
        <v>3293</v>
      </c>
      <c r="D4377" s="15" t="s">
        <v>3338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756"/>
        <v>9.66</v>
      </c>
      <c r="V4377" s="2">
        <f t="shared" si="757"/>
        <v>51.66</v>
      </c>
      <c r="W4377" s="2">
        <f>14.4*S4377</f>
        <v>28.8</v>
      </c>
      <c r="X4377" s="5">
        <f t="shared" si="754"/>
        <v>0.31428571428571428</v>
      </c>
      <c r="Z4377" s="2" t="s">
        <v>3226</v>
      </c>
      <c r="AA4377" s="2" t="s">
        <v>46</v>
      </c>
      <c r="AB4377" s="2" t="s">
        <v>47</v>
      </c>
      <c r="AC4377" s="2" t="s">
        <v>57</v>
      </c>
      <c r="AK4377" s="2">
        <f t="shared" si="751"/>
        <v>13.2</v>
      </c>
      <c r="AL4377" s="5">
        <f t="shared" si="755"/>
        <v>0.31428571428571428</v>
      </c>
    </row>
    <row r="4378" spans="1:38" x14ac:dyDescent="0.2">
      <c r="A4378" s="2">
        <v>2026</v>
      </c>
      <c r="B4378" s="2">
        <v>7</v>
      </c>
      <c r="C4378" s="2" t="s">
        <v>3293</v>
      </c>
      <c r="D4378" s="15" t="s">
        <v>3338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756"/>
        <v>19.55</v>
      </c>
      <c r="V4378" s="2">
        <f t="shared" si="757"/>
        <v>104.55</v>
      </c>
      <c r="W4378" s="2">
        <f>10.6*S4378</f>
        <v>53</v>
      </c>
      <c r="X4378" s="5">
        <f t="shared" si="754"/>
        <v>0.37647058823529411</v>
      </c>
      <c r="Z4378" s="2" t="s">
        <v>3226</v>
      </c>
      <c r="AA4378" s="2" t="s">
        <v>46</v>
      </c>
      <c r="AB4378" s="2" t="s">
        <v>56</v>
      </c>
      <c r="AC4378" s="2" t="s">
        <v>57</v>
      </c>
      <c r="AK4378" s="2">
        <f t="shared" si="751"/>
        <v>32</v>
      </c>
      <c r="AL4378" s="5">
        <f t="shared" si="755"/>
        <v>0.37647058823529411</v>
      </c>
    </row>
    <row r="4379" spans="1:38" x14ac:dyDescent="0.2">
      <c r="A4379" s="2">
        <v>2026</v>
      </c>
      <c r="B4379" s="2">
        <v>7</v>
      </c>
      <c r="C4379" s="2" t="s">
        <v>3293</v>
      </c>
      <c r="D4379" s="15" t="s">
        <v>3338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756"/>
        <v>10.58</v>
      </c>
      <c r="V4379" s="2">
        <f t="shared" si="757"/>
        <v>56.58</v>
      </c>
      <c r="W4379" s="2">
        <f>0.082*S4379</f>
        <v>32.800000000000004</v>
      </c>
      <c r="X4379" s="5">
        <f t="shared" si="754"/>
        <v>0.28695652173913033</v>
      </c>
      <c r="Z4379" s="2" t="s">
        <v>3226</v>
      </c>
      <c r="AA4379" s="2" t="s">
        <v>46</v>
      </c>
      <c r="AB4379" s="2" t="s">
        <v>60</v>
      </c>
      <c r="AC4379" s="2" t="s">
        <v>57</v>
      </c>
      <c r="AK4379" s="2">
        <f t="shared" si="751"/>
        <v>13.199999999999996</v>
      </c>
      <c r="AL4379" s="5">
        <f t="shared" si="755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756"/>
        <v>156.14930000000001</v>
      </c>
      <c r="V4380" s="2">
        <f t="shared" si="757"/>
        <v>835.05930000000001</v>
      </c>
      <c r="X4380" s="5">
        <f t="shared" si="754"/>
        <v>1</v>
      </c>
      <c r="Z4380" s="2" t="s">
        <v>119</v>
      </c>
      <c r="AA4380" s="2" t="s">
        <v>492</v>
      </c>
      <c r="AK4380" s="2">
        <f t="shared" si="751"/>
        <v>678.91</v>
      </c>
      <c r="AL4380" s="5">
        <f t="shared" si="755"/>
        <v>1</v>
      </c>
    </row>
    <row r="4381" spans="1:38" x14ac:dyDescent="0.2">
      <c r="A4381" s="2">
        <v>2026</v>
      </c>
      <c r="B4381" s="2">
        <v>7</v>
      </c>
      <c r="C4381" s="2" t="s">
        <v>3295</v>
      </c>
      <c r="D4381" s="15" t="s">
        <v>3339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756"/>
        <v>160.839</v>
      </c>
      <c r="V4381" s="2">
        <f t="shared" si="757"/>
        <v>860.1389999999999</v>
      </c>
      <c r="W4381" s="2">
        <v>343.38580000000002</v>
      </c>
      <c r="X4381" s="5">
        <f t="shared" si="754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751"/>
        <v>355.91419999999994</v>
      </c>
      <c r="AL4381" s="5">
        <f t="shared" si="755"/>
        <v>0.50895781495781489</v>
      </c>
    </row>
    <row r="4382" spans="1:38" x14ac:dyDescent="0.2">
      <c r="A4382" s="2">
        <v>2026</v>
      </c>
      <c r="B4382" s="2">
        <v>7</v>
      </c>
      <c r="C4382" s="2" t="s">
        <v>3295</v>
      </c>
      <c r="D4382" s="15" t="s">
        <v>3339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756"/>
        <v>13.8</v>
      </c>
      <c r="V4382" s="2">
        <f t="shared" si="757"/>
        <v>73.8</v>
      </c>
      <c r="W4382" s="2">
        <f>T4382*40%</f>
        <v>24</v>
      </c>
      <c r="X4382" s="5">
        <f t="shared" si="754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751"/>
        <v>36</v>
      </c>
      <c r="AL4382" s="5">
        <f t="shared" si="755"/>
        <v>0.6</v>
      </c>
    </row>
    <row r="4383" spans="1:38" x14ac:dyDescent="0.2">
      <c r="A4383" s="2">
        <v>2026</v>
      </c>
      <c r="B4383" s="2">
        <v>7</v>
      </c>
      <c r="C4383" s="2" t="s">
        <v>3295</v>
      </c>
      <c r="D4383" s="15" t="s">
        <v>3339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756"/>
        <v>12.65</v>
      </c>
      <c r="V4383" s="2">
        <f t="shared" si="757"/>
        <v>67.650000000000006</v>
      </c>
      <c r="W4383" s="2">
        <f>T4383*50%</f>
        <v>27.5</v>
      </c>
      <c r="X4383" s="5">
        <f t="shared" si="754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751"/>
        <v>27.5</v>
      </c>
      <c r="AL4383" s="5">
        <f t="shared" si="755"/>
        <v>0.5</v>
      </c>
    </row>
    <row r="4384" spans="1:38" x14ac:dyDescent="0.2">
      <c r="A4384" s="2">
        <v>2026</v>
      </c>
      <c r="B4384" s="2">
        <v>7</v>
      </c>
      <c r="C4384" s="8" t="s">
        <v>3294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756"/>
        <v>92.69</v>
      </c>
      <c r="V4384" s="2">
        <f t="shared" si="757"/>
        <v>495.69</v>
      </c>
      <c r="W4384" s="2">
        <f>T4384*40%</f>
        <v>161.20000000000002</v>
      </c>
      <c r="X4384" s="5">
        <f t="shared" si="754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751"/>
        <v>241.79999999999998</v>
      </c>
      <c r="AL4384" s="5">
        <f t="shared" si="755"/>
        <v>0.6</v>
      </c>
    </row>
    <row r="4385" spans="1:38" x14ac:dyDescent="0.2">
      <c r="A4385" s="2">
        <v>2026</v>
      </c>
      <c r="B4385" s="2">
        <v>7</v>
      </c>
      <c r="C4385" s="8" t="s">
        <v>3294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756"/>
        <v>12.65</v>
      </c>
      <c r="V4385" s="2">
        <f t="shared" si="757"/>
        <v>67.650000000000006</v>
      </c>
      <c r="W4385" s="2">
        <f>T4385*50%</f>
        <v>27.5</v>
      </c>
      <c r="X4385" s="5">
        <f t="shared" si="754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751"/>
        <v>27.5</v>
      </c>
      <c r="AL4385" s="5">
        <f t="shared" si="755"/>
        <v>0.5</v>
      </c>
    </row>
    <row r="4386" spans="1:38" x14ac:dyDescent="0.2">
      <c r="A4386" s="2">
        <v>2026</v>
      </c>
      <c r="B4386" s="2">
        <v>7</v>
      </c>
      <c r="C4386" s="8" t="s">
        <v>3294</v>
      </c>
      <c r="D4386" s="15" t="s">
        <v>3108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3353</v>
      </c>
      <c r="R4386" s="15" t="s">
        <v>3354</v>
      </c>
      <c r="S4386" s="13">
        <v>2</v>
      </c>
      <c r="T4386" s="14">
        <v>32.549999999999997</v>
      </c>
      <c r="U4386" s="2">
        <f t="shared" si="756"/>
        <v>7.4864999999999995</v>
      </c>
      <c r="V4386" s="2">
        <f t="shared" si="757"/>
        <v>40.036499999999997</v>
      </c>
      <c r="W4386" s="2">
        <f>(7.38+0.13)*S4386</f>
        <v>15.02</v>
      </c>
      <c r="X4386" s="5">
        <f t="shared" si="754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751"/>
        <v>17.529999999999998</v>
      </c>
      <c r="AL4386" s="5">
        <f t="shared" si="755"/>
        <v>0.53855606758832564</v>
      </c>
    </row>
    <row r="4387" spans="1:38" x14ac:dyDescent="0.2">
      <c r="A4387" s="2">
        <v>2026</v>
      </c>
      <c r="B4387" s="2">
        <v>7</v>
      </c>
      <c r="C4387" s="2" t="s">
        <v>3295</v>
      </c>
      <c r="D4387" s="15" t="s">
        <v>2904</v>
      </c>
      <c r="E4387" s="2" t="s">
        <v>38</v>
      </c>
      <c r="F4387" s="2" t="s">
        <v>3444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756"/>
        <v>6.67</v>
      </c>
      <c r="V4387" s="2">
        <f t="shared" si="757"/>
        <v>35.67</v>
      </c>
      <c r="W4387" s="2">
        <f>14.5099*S4387</f>
        <v>14.5099</v>
      </c>
      <c r="X4387" s="5">
        <f t="shared" si="754"/>
        <v>0.49965862068965516</v>
      </c>
      <c r="Z4387" s="2" t="s">
        <v>3226</v>
      </c>
      <c r="AA4387" s="2" t="s">
        <v>46</v>
      </c>
      <c r="AB4387" s="2" t="s">
        <v>60</v>
      </c>
      <c r="AC4387" s="2" t="s">
        <v>3331</v>
      </c>
      <c r="AK4387" s="2">
        <f t="shared" si="751"/>
        <v>14.4901</v>
      </c>
      <c r="AL4387" s="5">
        <f t="shared" si="755"/>
        <v>0.49965862068965516</v>
      </c>
    </row>
    <row r="4388" spans="1:38" x14ac:dyDescent="0.2">
      <c r="A4388" s="2">
        <v>2026</v>
      </c>
      <c r="B4388" s="2">
        <v>7</v>
      </c>
      <c r="C4388" s="8" t="s">
        <v>3294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3355</v>
      </c>
      <c r="R4388" s="15" t="s">
        <v>79</v>
      </c>
      <c r="S4388" s="13">
        <v>1</v>
      </c>
      <c r="T4388" s="14">
        <v>220</v>
      </c>
      <c r="U4388" s="2">
        <f t="shared" si="756"/>
        <v>50.6</v>
      </c>
      <c r="V4388" s="2">
        <f t="shared" si="757"/>
        <v>270.60000000000002</v>
      </c>
      <c r="W4388" s="2">
        <v>125.15</v>
      </c>
      <c r="X4388" s="5">
        <f t="shared" si="754"/>
        <v>0.4311363636363636</v>
      </c>
      <c r="Z4388" s="2" t="s">
        <v>3226</v>
      </c>
      <c r="AA4388" s="2" t="s">
        <v>75</v>
      </c>
      <c r="AB4388" s="2" t="s">
        <v>76</v>
      </c>
      <c r="AC4388" s="2" t="s">
        <v>77</v>
      </c>
      <c r="AK4388" s="2">
        <f t="shared" si="751"/>
        <v>94.85</v>
      </c>
      <c r="AL4388" s="5">
        <f t="shared" si="755"/>
        <v>0.4311363636363636</v>
      </c>
    </row>
    <row r="4389" spans="1:38" x14ac:dyDescent="0.2">
      <c r="A4389" s="2">
        <v>2026</v>
      </c>
      <c r="B4389" s="2">
        <v>7</v>
      </c>
      <c r="C4389" s="8" t="s">
        <v>3294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756"/>
        <v>0.34040000000000004</v>
      </c>
      <c r="V4389" s="2">
        <f t="shared" si="757"/>
        <v>1.8204</v>
      </c>
      <c r="W4389" s="2">
        <v>1.48</v>
      </c>
      <c r="X4389" s="5">
        <f t="shared" si="754"/>
        <v>0</v>
      </c>
      <c r="Z4389" s="2" t="s">
        <v>3226</v>
      </c>
      <c r="AA4389" s="2" t="s">
        <v>96</v>
      </c>
      <c r="AB4389" s="2" t="s">
        <v>76</v>
      </c>
      <c r="AC4389" s="2" t="s">
        <v>93</v>
      </c>
      <c r="AK4389" s="2">
        <f t="shared" si="751"/>
        <v>0</v>
      </c>
      <c r="AL4389" s="5">
        <f t="shared" si="755"/>
        <v>0</v>
      </c>
    </row>
    <row r="4390" spans="1:38" x14ac:dyDescent="0.2">
      <c r="A4390" s="2">
        <v>2026</v>
      </c>
      <c r="B4390" s="2">
        <v>7</v>
      </c>
      <c r="C4390" s="8" t="s">
        <v>3294</v>
      </c>
      <c r="D4390" s="15" t="s">
        <v>3340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756"/>
        <v>68.08</v>
      </c>
      <c r="V4390" s="2">
        <f t="shared" si="757"/>
        <v>364.08</v>
      </c>
      <c r="W4390" s="2">
        <f>T4390*40%</f>
        <v>118.4</v>
      </c>
      <c r="X4390" s="5">
        <f t="shared" si="754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751"/>
        <v>177.6</v>
      </c>
      <c r="AL4390" s="5">
        <f t="shared" si="755"/>
        <v>0.6</v>
      </c>
    </row>
    <row r="4391" spans="1:38" x14ac:dyDescent="0.2">
      <c r="A4391" s="2">
        <v>2026</v>
      </c>
      <c r="B4391" s="2">
        <v>7</v>
      </c>
      <c r="C4391" s="8" t="s">
        <v>3294</v>
      </c>
      <c r="D4391" s="15" t="s">
        <v>3340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756"/>
        <v>12.65</v>
      </c>
      <c r="V4391" s="2">
        <f t="shared" si="757"/>
        <v>67.650000000000006</v>
      </c>
      <c r="W4391" s="2">
        <f>T4391*50%</f>
        <v>27.5</v>
      </c>
      <c r="X4391" s="5">
        <f t="shared" ref="X4391:X4422" si="758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751"/>
        <v>27.5</v>
      </c>
      <c r="AL4391" s="5">
        <f t="shared" ref="AL4391:AL4422" si="759">(T4391-W4391)/T4391</f>
        <v>0.5</v>
      </c>
    </row>
    <row r="4392" spans="1:38" x14ac:dyDescent="0.2">
      <c r="A4392" s="2">
        <v>2026</v>
      </c>
      <c r="B4392" s="2">
        <v>7</v>
      </c>
      <c r="C4392" s="2" t="s">
        <v>3295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756"/>
        <v>51.75</v>
      </c>
      <c r="V4392" s="2">
        <f t="shared" si="757"/>
        <v>276.75</v>
      </c>
      <c r="W4392" s="2">
        <v>125.51600000000001</v>
      </c>
      <c r="X4392" s="5">
        <f t="shared" si="758"/>
        <v>0.44215111111111111</v>
      </c>
      <c r="Z4392" s="2" t="s">
        <v>3226</v>
      </c>
      <c r="AA4392" s="2" t="s">
        <v>75</v>
      </c>
      <c r="AB4392" s="2" t="s">
        <v>76</v>
      </c>
      <c r="AC4392" s="2" t="s">
        <v>77</v>
      </c>
      <c r="AK4392" s="2">
        <f t="shared" si="751"/>
        <v>99.483999999999995</v>
      </c>
      <c r="AL4392" s="5">
        <f t="shared" si="759"/>
        <v>0.44215111111111111</v>
      </c>
    </row>
    <row r="4393" spans="1:38" x14ac:dyDescent="0.2">
      <c r="A4393" s="2">
        <v>2026</v>
      </c>
      <c r="B4393" s="2">
        <v>7</v>
      </c>
      <c r="C4393" s="2" t="s">
        <v>3295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756"/>
        <v>0.34040000000000004</v>
      </c>
      <c r="V4393" s="2">
        <f t="shared" si="757"/>
        <v>1.8204</v>
      </c>
      <c r="W4393" s="2">
        <v>1.48</v>
      </c>
      <c r="X4393" s="5">
        <f t="shared" si="758"/>
        <v>0</v>
      </c>
      <c r="Z4393" s="2" t="s">
        <v>3226</v>
      </c>
      <c r="AA4393" s="2" t="s">
        <v>96</v>
      </c>
      <c r="AB4393" s="2" t="s">
        <v>76</v>
      </c>
      <c r="AC4393" s="2" t="s">
        <v>93</v>
      </c>
      <c r="AK4393" s="2">
        <f t="shared" si="751"/>
        <v>0</v>
      </c>
      <c r="AL4393" s="5">
        <f t="shared" si="759"/>
        <v>0</v>
      </c>
    </row>
    <row r="4394" spans="1:38" x14ac:dyDescent="0.2">
      <c r="A4394" s="2">
        <v>2026</v>
      </c>
      <c r="B4394" s="2">
        <v>7</v>
      </c>
      <c r="C4394" s="8" t="s">
        <v>3294</v>
      </c>
      <c r="D4394" s="15" t="s">
        <v>3341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3356</v>
      </c>
      <c r="R4394" s="15" t="s">
        <v>197</v>
      </c>
      <c r="S4394" s="13">
        <v>1</v>
      </c>
      <c r="T4394" s="14">
        <v>375</v>
      </c>
      <c r="U4394" s="2">
        <f t="shared" si="756"/>
        <v>86.25</v>
      </c>
      <c r="V4394" s="2">
        <f t="shared" si="757"/>
        <v>461.25</v>
      </c>
      <c r="W4394" s="2">
        <v>227.14</v>
      </c>
      <c r="X4394" s="5">
        <f t="shared" si="758"/>
        <v>0.39429333333333338</v>
      </c>
      <c r="Z4394" s="2" t="s">
        <v>3226</v>
      </c>
      <c r="AA4394" s="2" t="s">
        <v>75</v>
      </c>
      <c r="AB4394" s="2" t="s">
        <v>76</v>
      </c>
      <c r="AC4394" s="2" t="s">
        <v>77</v>
      </c>
      <c r="AK4394" s="2">
        <f t="shared" si="751"/>
        <v>147.86000000000001</v>
      </c>
      <c r="AL4394" s="5">
        <f t="shared" si="759"/>
        <v>0.39429333333333338</v>
      </c>
    </row>
    <row r="4395" spans="1:38" x14ac:dyDescent="0.2">
      <c r="A4395" s="2">
        <v>2026</v>
      </c>
      <c r="B4395" s="2">
        <v>7</v>
      </c>
      <c r="C4395" s="8" t="s">
        <v>3294</v>
      </c>
      <c r="D4395" s="15" t="s">
        <v>3341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756"/>
        <v>0.34040000000000004</v>
      </c>
      <c r="V4395" s="2">
        <f t="shared" si="757"/>
        <v>1.8204</v>
      </c>
      <c r="W4395" s="2">
        <v>1.48</v>
      </c>
      <c r="X4395" s="5">
        <f t="shared" si="758"/>
        <v>0</v>
      </c>
      <c r="Z4395" s="2" t="s">
        <v>3226</v>
      </c>
      <c r="AA4395" s="2" t="s">
        <v>96</v>
      </c>
      <c r="AB4395" s="2" t="s">
        <v>76</v>
      </c>
      <c r="AC4395" s="2" t="s">
        <v>93</v>
      </c>
      <c r="AK4395" s="2">
        <f t="shared" si="751"/>
        <v>0</v>
      </c>
      <c r="AL4395" s="5">
        <f t="shared" si="759"/>
        <v>0</v>
      </c>
    </row>
    <row r="4396" spans="1:38" x14ac:dyDescent="0.2">
      <c r="A4396" s="2">
        <v>2026</v>
      </c>
      <c r="B4396" s="2">
        <v>7</v>
      </c>
      <c r="C4396" s="2" t="s">
        <v>3295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756"/>
        <v>51.75</v>
      </c>
      <c r="V4396" s="2">
        <f t="shared" si="757"/>
        <v>276.75</v>
      </c>
      <c r="W4396" s="2">
        <v>132.35499999999999</v>
      </c>
      <c r="X4396" s="5">
        <f t="shared" si="758"/>
        <v>0.4117555555555556</v>
      </c>
      <c r="Z4396" s="2" t="s">
        <v>3226</v>
      </c>
      <c r="AA4396" s="2" t="s">
        <v>75</v>
      </c>
      <c r="AB4396" s="2" t="s">
        <v>76</v>
      </c>
      <c r="AC4396" s="2" t="s">
        <v>77</v>
      </c>
      <c r="AK4396" s="2">
        <f t="shared" si="751"/>
        <v>92.64500000000001</v>
      </c>
      <c r="AL4396" s="5">
        <f t="shared" si="759"/>
        <v>0.4117555555555556</v>
      </c>
    </row>
    <row r="4397" spans="1:38" x14ac:dyDescent="0.2">
      <c r="A4397" s="2">
        <v>2026</v>
      </c>
      <c r="B4397" s="2">
        <v>7</v>
      </c>
      <c r="C4397" s="2" t="s">
        <v>3295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756"/>
        <v>0.34040000000000004</v>
      </c>
      <c r="V4397" s="2">
        <f t="shared" si="757"/>
        <v>1.8204</v>
      </c>
      <c r="W4397" s="2">
        <v>1.48</v>
      </c>
      <c r="X4397" s="5">
        <f t="shared" si="758"/>
        <v>0</v>
      </c>
      <c r="Z4397" s="2" t="s">
        <v>3226</v>
      </c>
      <c r="AA4397" s="2" t="s">
        <v>96</v>
      </c>
      <c r="AB4397" s="2" t="s">
        <v>76</v>
      </c>
      <c r="AC4397" s="2" t="s">
        <v>93</v>
      </c>
      <c r="AK4397" s="2">
        <f t="shared" si="751"/>
        <v>0</v>
      </c>
      <c r="AL4397" s="5">
        <f t="shared" si="759"/>
        <v>0</v>
      </c>
    </row>
    <row r="4398" spans="1:38" x14ac:dyDescent="0.2">
      <c r="A4398" s="2">
        <v>2026</v>
      </c>
      <c r="B4398" s="2">
        <v>7</v>
      </c>
      <c r="C4398" s="2" t="s">
        <v>3295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756"/>
        <v>8.2800000000000011</v>
      </c>
      <c r="V4398" s="2">
        <f t="shared" si="757"/>
        <v>44.28</v>
      </c>
      <c r="W4398" s="2">
        <f>0.8561*S4398</f>
        <v>17.122</v>
      </c>
      <c r="X4398" s="5">
        <f t="shared" si="758"/>
        <v>0.5243888888888889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51"/>
        <v>18.878</v>
      </c>
      <c r="AL4398" s="5">
        <f t="shared" si="759"/>
        <v>0.5243888888888889</v>
      </c>
    </row>
    <row r="4399" spans="1:38" x14ac:dyDescent="0.2">
      <c r="A4399" s="2">
        <v>2026</v>
      </c>
      <c r="B4399" s="2">
        <v>7</v>
      </c>
      <c r="C4399" s="2" t="s">
        <v>3295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756"/>
        <v>13.8</v>
      </c>
      <c r="V4399" s="2">
        <f t="shared" si="757"/>
        <v>73.8</v>
      </c>
      <c r="W4399" s="2">
        <f>1.4114*S4399</f>
        <v>28.228000000000002</v>
      </c>
      <c r="X4399" s="5">
        <f t="shared" si="758"/>
        <v>0.5295333333333333</v>
      </c>
      <c r="Z4399" s="2" t="s">
        <v>3226</v>
      </c>
      <c r="AA4399" s="2" t="s">
        <v>46</v>
      </c>
      <c r="AB4399" s="2" t="s">
        <v>60</v>
      </c>
      <c r="AC4399" s="2" t="s">
        <v>57</v>
      </c>
      <c r="AK4399" s="2">
        <f t="shared" si="751"/>
        <v>31.771999999999998</v>
      </c>
      <c r="AL4399" s="5">
        <f t="shared" si="759"/>
        <v>0.5295333333333333</v>
      </c>
    </row>
    <row r="4400" spans="1:38" x14ac:dyDescent="0.2">
      <c r="A4400" s="2">
        <v>2026</v>
      </c>
      <c r="B4400" s="2">
        <v>7</v>
      </c>
      <c r="C4400" s="2" t="s">
        <v>3294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3357</v>
      </c>
      <c r="R4400" s="15" t="s">
        <v>1100</v>
      </c>
      <c r="S4400" s="13">
        <v>1</v>
      </c>
      <c r="T4400" s="14">
        <v>187.92</v>
      </c>
      <c r="U4400" s="2">
        <f t="shared" si="756"/>
        <v>43.221600000000002</v>
      </c>
      <c r="V4400" s="2">
        <f t="shared" si="757"/>
        <v>231.14159999999998</v>
      </c>
      <c r="W4400" s="2">
        <v>49.96</v>
      </c>
      <c r="X4400" s="5">
        <f t="shared" si="758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51"/>
        <v>137.95999999999998</v>
      </c>
      <c r="AL4400" s="5">
        <f t="shared" si="759"/>
        <v>0.73414218816517662</v>
      </c>
    </row>
    <row r="4401" spans="1:38" x14ac:dyDescent="0.2">
      <c r="A4401" s="2">
        <v>2026</v>
      </c>
      <c r="B4401" s="2">
        <v>7</v>
      </c>
      <c r="C4401" s="2" t="s">
        <v>3294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756"/>
        <v>124.00909999999999</v>
      </c>
      <c r="V4401" s="2">
        <f t="shared" si="757"/>
        <v>663.17909999999995</v>
      </c>
      <c r="W4401" s="2">
        <v>257.3</v>
      </c>
      <c r="X4401" s="5">
        <f t="shared" si="758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751"/>
        <v>281.86999999999995</v>
      </c>
      <c r="AL4401" s="5">
        <f t="shared" si="759"/>
        <v>0.52278502142181493</v>
      </c>
    </row>
    <row r="4402" spans="1:38" x14ac:dyDescent="0.2">
      <c r="A4402" s="2">
        <v>2026</v>
      </c>
      <c r="B4402" s="2">
        <v>7</v>
      </c>
      <c r="C4402" s="2" t="s">
        <v>3294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756"/>
        <v>34.270000000000003</v>
      </c>
      <c r="V4402" s="2">
        <f t="shared" si="757"/>
        <v>183.27</v>
      </c>
      <c r="W4402" s="2">
        <f>T4402*40%</f>
        <v>59.6</v>
      </c>
      <c r="X4402" s="5">
        <f t="shared" si="758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751"/>
        <v>89.4</v>
      </c>
      <c r="AL4402" s="5">
        <f t="shared" si="759"/>
        <v>0.60000000000000009</v>
      </c>
    </row>
    <row r="4403" spans="1:38" x14ac:dyDescent="0.2">
      <c r="A4403" s="2">
        <v>2026</v>
      </c>
      <c r="B4403" s="2">
        <v>7</v>
      </c>
      <c r="C4403" s="2" t="s">
        <v>3294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756"/>
        <v>25.3</v>
      </c>
      <c r="V4403" s="2">
        <f t="shared" si="757"/>
        <v>135.30000000000001</v>
      </c>
      <c r="W4403" s="2">
        <f>T4403*50%</f>
        <v>55</v>
      </c>
      <c r="X4403" s="5">
        <f t="shared" si="758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751"/>
        <v>55</v>
      </c>
      <c r="AL4403" s="5">
        <f t="shared" si="759"/>
        <v>0.5</v>
      </c>
    </row>
    <row r="4404" spans="1:38" ht="22.5" x14ac:dyDescent="0.2">
      <c r="A4404" s="2">
        <v>2026</v>
      </c>
      <c r="B4404" s="2">
        <v>7</v>
      </c>
      <c r="C4404" s="2" t="s">
        <v>3295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3358</v>
      </c>
      <c r="R4404" s="15" t="s">
        <v>3359</v>
      </c>
      <c r="S4404" s="13">
        <v>8</v>
      </c>
      <c r="T4404" s="14">
        <v>100.8</v>
      </c>
      <c r="U4404" s="2">
        <f t="shared" si="756"/>
        <v>23.184000000000001</v>
      </c>
      <c r="V4404" s="2">
        <f t="shared" si="757"/>
        <v>123.98399999999999</v>
      </c>
      <c r="W4404" s="2">
        <f>3*S4404</f>
        <v>24</v>
      </c>
      <c r="X4404" s="5">
        <f t="shared" si="758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751"/>
        <v>76.8</v>
      </c>
      <c r="AL4404" s="5">
        <f t="shared" si="759"/>
        <v>0.76190476190476186</v>
      </c>
    </row>
    <row r="4405" spans="1:38" x14ac:dyDescent="0.2">
      <c r="A4405" s="2">
        <v>2026</v>
      </c>
      <c r="B4405" s="2">
        <v>7</v>
      </c>
      <c r="C4405" s="2" t="s">
        <v>3295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756"/>
        <v>11.258500000000002</v>
      </c>
      <c r="V4405" s="2">
        <f t="shared" si="757"/>
        <v>60.208500000000001</v>
      </c>
      <c r="W4405" s="2">
        <f>23.042*S4405</f>
        <v>23.042000000000002</v>
      </c>
      <c r="X4405" s="5">
        <f t="shared" si="758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760">T4405-W4405</f>
        <v>25.908000000000001</v>
      </c>
      <c r="AL4405" s="5">
        <f t="shared" si="759"/>
        <v>0.52927477017364655</v>
      </c>
    </row>
    <row r="4406" spans="1:38" x14ac:dyDescent="0.2">
      <c r="A4406" s="2">
        <v>2026</v>
      </c>
      <c r="B4406" s="2">
        <v>7</v>
      </c>
      <c r="C4406" s="2" t="s">
        <v>3295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756"/>
        <v>8.9700000000000006</v>
      </c>
      <c r="V4406" s="2">
        <f t="shared" si="757"/>
        <v>47.97</v>
      </c>
      <c r="W4406" s="2">
        <f>6.6267*S4406</f>
        <v>19.880099999999999</v>
      </c>
      <c r="X4406" s="5">
        <f t="shared" si="758"/>
        <v>0.49025384615384621</v>
      </c>
      <c r="Z4406" s="2" t="s">
        <v>3226</v>
      </c>
      <c r="AA4406" s="2" t="s">
        <v>46</v>
      </c>
      <c r="AB4406" s="2" t="s">
        <v>47</v>
      </c>
      <c r="AC4406" s="2" t="s">
        <v>57</v>
      </c>
      <c r="AK4406" s="2">
        <f t="shared" si="760"/>
        <v>19.119900000000001</v>
      </c>
      <c r="AL4406" s="5">
        <f t="shared" si="759"/>
        <v>0.49025384615384621</v>
      </c>
    </row>
    <row r="4407" spans="1:38" x14ac:dyDescent="0.2">
      <c r="A4407" s="2">
        <v>2026</v>
      </c>
      <c r="B4407" s="2">
        <v>7</v>
      </c>
      <c r="C4407" s="2" t="s">
        <v>3295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761">T4407*23%</f>
        <v>34.5</v>
      </c>
      <c r="V4407" s="2">
        <f t="shared" ref="V4407:V4414" si="762">T4407+U4407</f>
        <v>184.5</v>
      </c>
      <c r="W4407" s="2">
        <f>10.6*S4407</f>
        <v>106</v>
      </c>
      <c r="X4407" s="5">
        <f t="shared" si="758"/>
        <v>0.29333333333333333</v>
      </c>
      <c r="Z4407" s="2" t="s">
        <v>3226</v>
      </c>
      <c r="AA4407" s="2" t="s">
        <v>46</v>
      </c>
      <c r="AB4407" s="2" t="s">
        <v>56</v>
      </c>
      <c r="AC4407" s="2" t="s">
        <v>57</v>
      </c>
      <c r="AK4407" s="2">
        <f t="shared" si="760"/>
        <v>44</v>
      </c>
      <c r="AL4407" s="5">
        <f t="shared" si="759"/>
        <v>0.29333333333333333</v>
      </c>
    </row>
    <row r="4408" spans="1:38" x14ac:dyDescent="0.2">
      <c r="A4408" s="2">
        <v>2026</v>
      </c>
      <c r="B4408" s="2">
        <v>7</v>
      </c>
      <c r="C4408" s="2" t="s">
        <v>3295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761"/>
        <v>3.22</v>
      </c>
      <c r="V4408" s="2">
        <f t="shared" si="762"/>
        <v>17.22</v>
      </c>
      <c r="W4408" s="2">
        <f>0.0914*S4408</f>
        <v>9.1399999999999988</v>
      </c>
      <c r="X4408" s="5">
        <f t="shared" si="758"/>
        <v>0.34714285714285725</v>
      </c>
      <c r="Z4408" s="2" t="s">
        <v>3226</v>
      </c>
      <c r="AA4408" s="2" t="s">
        <v>46</v>
      </c>
      <c r="AB4408" s="2" t="s">
        <v>60</v>
      </c>
      <c r="AC4408" s="2" t="s">
        <v>57</v>
      </c>
      <c r="AK4408" s="2">
        <f t="shared" si="760"/>
        <v>4.8600000000000012</v>
      </c>
      <c r="AL4408" s="5">
        <f t="shared" si="759"/>
        <v>0.34714285714285725</v>
      </c>
    </row>
    <row r="4409" spans="1:38" x14ac:dyDescent="0.2">
      <c r="A4409" s="2">
        <v>2026</v>
      </c>
      <c r="B4409" s="2">
        <v>7</v>
      </c>
      <c r="C4409" s="2" t="s">
        <v>3295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761"/>
        <v>17.48</v>
      </c>
      <c r="V4409" s="2">
        <f t="shared" si="762"/>
        <v>93.48</v>
      </c>
      <c r="W4409" s="2">
        <f>T4409*40%</f>
        <v>30.400000000000002</v>
      </c>
      <c r="X4409" s="5">
        <f t="shared" si="758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760"/>
        <v>45.599999999999994</v>
      </c>
      <c r="AL4409" s="5">
        <f t="shared" si="759"/>
        <v>0.6</v>
      </c>
    </row>
    <row r="4410" spans="1:38" x14ac:dyDescent="0.2">
      <c r="A4410" s="2">
        <v>2026</v>
      </c>
      <c r="B4410" s="2">
        <v>7</v>
      </c>
      <c r="C4410" s="2" t="s">
        <v>3295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761"/>
        <v>12.65</v>
      </c>
      <c r="V4410" s="2">
        <f t="shared" si="762"/>
        <v>67.650000000000006</v>
      </c>
      <c r="W4410" s="2">
        <f>T4410*50%</f>
        <v>27.5</v>
      </c>
      <c r="X4410" s="5">
        <f t="shared" si="758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760"/>
        <v>27.5</v>
      </c>
      <c r="AL4410" s="5">
        <f t="shared" si="759"/>
        <v>0.5</v>
      </c>
    </row>
    <row r="4411" spans="1:38" x14ac:dyDescent="0.2">
      <c r="A4411" s="2">
        <v>2026</v>
      </c>
      <c r="B4411" s="2">
        <v>7</v>
      </c>
      <c r="C4411" s="2" t="s">
        <v>3295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761"/>
        <v>10.143000000000001</v>
      </c>
      <c r="V4411" s="2">
        <f t="shared" si="762"/>
        <v>54.243000000000002</v>
      </c>
      <c r="W4411" s="2">
        <f>10.38*S4411</f>
        <v>20.76</v>
      </c>
      <c r="X4411" s="5">
        <f t="shared" si="758"/>
        <v>0.52925170068027205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760"/>
        <v>23.34</v>
      </c>
      <c r="AL4411" s="5">
        <f t="shared" si="759"/>
        <v>0.52925170068027205</v>
      </c>
    </row>
    <row r="4412" spans="1:38" x14ac:dyDescent="0.2">
      <c r="A4412" s="2">
        <v>2026</v>
      </c>
      <c r="B4412" s="2">
        <v>7</v>
      </c>
      <c r="C4412" s="2" t="s">
        <v>3295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761"/>
        <v>1.84</v>
      </c>
      <c r="V4412" s="2">
        <f t="shared" si="762"/>
        <v>9.84</v>
      </c>
      <c r="W4412" s="2">
        <v>6</v>
      </c>
      <c r="X4412" s="5">
        <f t="shared" si="758"/>
        <v>0.25</v>
      </c>
      <c r="Z4412" s="2" t="s">
        <v>169</v>
      </c>
      <c r="AA4412" s="2" t="s">
        <v>169</v>
      </c>
      <c r="AK4412" s="2">
        <f t="shared" si="760"/>
        <v>2</v>
      </c>
      <c r="AL4412" s="5">
        <f t="shared" si="759"/>
        <v>0.25</v>
      </c>
    </row>
    <row r="4413" spans="1:38" x14ac:dyDescent="0.2">
      <c r="A4413" s="2">
        <v>2026</v>
      </c>
      <c r="B4413" s="2">
        <v>7</v>
      </c>
      <c r="C4413" s="2" t="s">
        <v>3295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761"/>
        <v>13.144500000000001</v>
      </c>
      <c r="V4413" s="2">
        <f t="shared" si="762"/>
        <v>70.294499999999999</v>
      </c>
      <c r="W4413" s="2">
        <f>5.33*S4413</f>
        <v>21.32</v>
      </c>
      <c r="X4413" s="5">
        <f t="shared" si="758"/>
        <v>0.62694663167104114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760"/>
        <v>35.83</v>
      </c>
      <c r="AL4413" s="5">
        <f>(T4413-W4413)/T4413</f>
        <v>0.62694663167104114</v>
      </c>
    </row>
    <row r="4414" spans="1:38" x14ac:dyDescent="0.2">
      <c r="A4414" s="2">
        <v>2026</v>
      </c>
      <c r="B4414" s="2">
        <v>7</v>
      </c>
      <c r="C4414" s="2" t="s">
        <v>3295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761"/>
        <v>1.84</v>
      </c>
      <c r="V4414" s="2">
        <f t="shared" si="762"/>
        <v>9.84</v>
      </c>
      <c r="W4414" s="2">
        <v>6</v>
      </c>
      <c r="X4414" s="5">
        <f t="shared" si="758"/>
        <v>0.25</v>
      </c>
      <c r="Z4414" s="2" t="s">
        <v>169</v>
      </c>
      <c r="AA4414" s="2" t="s">
        <v>169</v>
      </c>
      <c r="AK4414" s="2">
        <f t="shared" si="760"/>
        <v>2</v>
      </c>
      <c r="AL4414" s="5">
        <f t="shared" si="759"/>
        <v>0.25</v>
      </c>
    </row>
    <row r="4415" spans="1:38" x14ac:dyDescent="0.2">
      <c r="A4415" s="2">
        <v>2026</v>
      </c>
      <c r="B4415" s="2">
        <v>7</v>
      </c>
      <c r="C4415" s="2" t="s">
        <v>3294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758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760"/>
        <v>233.02659999999997</v>
      </c>
      <c r="AL4415" s="5">
        <f t="shared" si="759"/>
        <v>0.40321601605758584</v>
      </c>
    </row>
    <row r="4416" spans="1:38" ht="22.5" x14ac:dyDescent="0.2">
      <c r="A4416" s="2">
        <v>2026</v>
      </c>
      <c r="B4416" s="2">
        <v>7</v>
      </c>
      <c r="C4416" s="2" t="s">
        <v>3294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763">T4416*23%</f>
        <v>3220</v>
      </c>
      <c r="V4416" s="2">
        <f t="shared" ref="V4416:V4447" si="764">T4416+U4416</f>
        <v>17220</v>
      </c>
      <c r="W4416" s="2">
        <f>10699.41+285.74</f>
        <v>10985.15</v>
      </c>
      <c r="X4416" s="5">
        <f t="shared" si="758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760"/>
        <v>3014.8500000000004</v>
      </c>
      <c r="AL4416" s="5">
        <f t="shared" si="759"/>
        <v>0.21534642857142861</v>
      </c>
    </row>
    <row r="4417" spans="1:38" x14ac:dyDescent="0.2">
      <c r="A4417" s="2">
        <v>2026</v>
      </c>
      <c r="B4417" s="2">
        <v>7</v>
      </c>
      <c r="C4417" s="2" t="s">
        <v>3294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763"/>
        <v>48.300000000000004</v>
      </c>
      <c r="V4417" s="2">
        <f t="shared" si="764"/>
        <v>258.3</v>
      </c>
      <c r="W4417" s="2">
        <f>113.905+11.25</f>
        <v>125.155</v>
      </c>
      <c r="X4417" s="5">
        <f t="shared" si="758"/>
        <v>0.40402380952380951</v>
      </c>
      <c r="Z4417" s="2" t="s">
        <v>3226</v>
      </c>
      <c r="AA4417" s="2" t="s">
        <v>75</v>
      </c>
      <c r="AB4417" s="2" t="s">
        <v>76</v>
      </c>
      <c r="AC4417" s="2" t="s">
        <v>77</v>
      </c>
      <c r="AK4417" s="2">
        <f t="shared" si="760"/>
        <v>84.844999999999999</v>
      </c>
      <c r="AL4417" s="5">
        <f t="shared" si="759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3294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763"/>
        <v>0.34040000000000004</v>
      </c>
      <c r="V4418" s="2">
        <f t="shared" si="764"/>
        <v>1.8204</v>
      </c>
      <c r="W4418" s="2">
        <v>1.48</v>
      </c>
      <c r="X4418" s="5">
        <f t="shared" si="758"/>
        <v>0</v>
      </c>
      <c r="Z4418" s="2" t="s">
        <v>3226</v>
      </c>
      <c r="AA4418" s="2" t="s">
        <v>96</v>
      </c>
      <c r="AB4418" s="2" t="s">
        <v>76</v>
      </c>
      <c r="AC4418" s="2" t="s">
        <v>93</v>
      </c>
      <c r="AK4418" s="2">
        <f t="shared" si="760"/>
        <v>0</v>
      </c>
      <c r="AL4418" s="5">
        <f t="shared" si="759"/>
        <v>0</v>
      </c>
    </row>
    <row r="4419" spans="1:38" x14ac:dyDescent="0.2">
      <c r="A4419" s="2">
        <v>2026</v>
      </c>
      <c r="B4419" s="2">
        <v>7</v>
      </c>
      <c r="C4419" s="2" t="s">
        <v>3294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3360</v>
      </c>
      <c r="R4419" s="15" t="s">
        <v>3361</v>
      </c>
      <c r="S4419" s="13">
        <v>1</v>
      </c>
      <c r="T4419" s="14">
        <v>103.55</v>
      </c>
      <c r="U4419" s="2">
        <f t="shared" si="763"/>
        <v>23.816500000000001</v>
      </c>
      <c r="V4419" s="2">
        <f t="shared" si="764"/>
        <v>127.3665</v>
      </c>
      <c r="W4419" s="2">
        <f>57.53+1</f>
        <v>58.53</v>
      </c>
      <c r="X4419" s="5">
        <f t="shared" si="758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760"/>
        <v>45.019999999999996</v>
      </c>
      <c r="AL4419" s="5">
        <f t="shared" si="759"/>
        <v>0.43476581361661032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3342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3088</v>
      </c>
      <c r="R4420" s="15" t="s">
        <v>3089</v>
      </c>
      <c r="S4420" s="13">
        <v>1</v>
      </c>
      <c r="T4420" s="14">
        <v>2490</v>
      </c>
      <c r="U4420" s="2">
        <f t="shared" si="763"/>
        <v>572.70000000000005</v>
      </c>
      <c r="V4420" s="2">
        <f t="shared" si="764"/>
        <v>3062.7</v>
      </c>
      <c r="W4420" s="2">
        <f>1907.5+49</f>
        <v>1956.5</v>
      </c>
      <c r="X4420" s="5">
        <f t="shared" si="758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760"/>
        <v>533.5</v>
      </c>
      <c r="AL4420" s="5">
        <f t="shared" si="759"/>
        <v>0.21425702811244979</v>
      </c>
    </row>
    <row r="4421" spans="1:38" x14ac:dyDescent="0.2">
      <c r="A4421" s="2">
        <v>2026</v>
      </c>
      <c r="B4421" s="2">
        <v>7</v>
      </c>
      <c r="C4421" s="2" t="s">
        <v>3294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3375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763"/>
        <v>160.839</v>
      </c>
      <c r="V4421" s="2">
        <f t="shared" si="764"/>
        <v>860.1389999999999</v>
      </c>
      <c r="W4421" s="2">
        <v>343.38580000000002</v>
      </c>
      <c r="X4421" s="5">
        <f t="shared" si="758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760"/>
        <v>355.91419999999994</v>
      </c>
      <c r="AL4421" s="5">
        <f t="shared" si="759"/>
        <v>0.50895781495781489</v>
      </c>
    </row>
    <row r="4422" spans="1:38" x14ac:dyDescent="0.2">
      <c r="A4422" s="2">
        <v>2026</v>
      </c>
      <c r="B4422" s="2">
        <v>7</v>
      </c>
      <c r="C4422" s="2" t="s">
        <v>3294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3375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763"/>
        <v>56.580000000000005</v>
      </c>
      <c r="V4422" s="2">
        <f t="shared" si="764"/>
        <v>302.58</v>
      </c>
      <c r="W4422" s="2">
        <f>T4422*40%</f>
        <v>98.4</v>
      </c>
      <c r="X4422" s="5">
        <f t="shared" si="758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760"/>
        <v>147.6</v>
      </c>
      <c r="AL4422" s="5">
        <f t="shared" si="759"/>
        <v>0.6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3244</v>
      </c>
      <c r="J4423" s="2" t="s">
        <v>3245</v>
      </c>
      <c r="K4423" s="2">
        <v>96179412</v>
      </c>
      <c r="L4423" s="2" t="s">
        <v>461</v>
      </c>
      <c r="M4423" s="2" t="s">
        <v>40</v>
      </c>
      <c r="O4423" s="2" t="s">
        <v>3375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763"/>
        <v>18.975000000000001</v>
      </c>
      <c r="V4423" s="2">
        <f t="shared" si="764"/>
        <v>101.47499999999999</v>
      </c>
      <c r="W4423" s="2">
        <f>T4423*50%</f>
        <v>41.25</v>
      </c>
      <c r="X4423" s="5">
        <f t="shared" ref="X4423:X4454" si="765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760"/>
        <v>41.25</v>
      </c>
      <c r="AL4423" s="5">
        <f t="shared" ref="AL4423:AL4454" si="766">(T4423-W4423)/T4423</f>
        <v>0.5</v>
      </c>
    </row>
    <row r="4424" spans="1:38" x14ac:dyDescent="0.2">
      <c r="A4424" s="2">
        <v>2026</v>
      </c>
      <c r="B4424" s="2">
        <v>7</v>
      </c>
      <c r="C4424" s="2" t="s">
        <v>3295</v>
      </c>
      <c r="D4424" s="15" t="s">
        <v>3343</v>
      </c>
      <c r="E4424" s="2" t="s">
        <v>38</v>
      </c>
      <c r="F4424" s="2" t="s">
        <v>39</v>
      </c>
      <c r="H4424" s="2" t="s">
        <v>40</v>
      </c>
      <c r="I4424" s="2" t="s">
        <v>3374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763"/>
        <v>52.900000000000006</v>
      </c>
      <c r="V4424" s="2">
        <f t="shared" si="764"/>
        <v>282.89999999999998</v>
      </c>
      <c r="W4424" s="2">
        <v>125.51600000000001</v>
      </c>
      <c r="X4424" s="5">
        <f t="shared" si="765"/>
        <v>0.45427826086956519</v>
      </c>
      <c r="Z4424" s="2" t="s">
        <v>3226</v>
      </c>
      <c r="AA4424" s="2" t="s">
        <v>75</v>
      </c>
      <c r="AB4424" s="2" t="s">
        <v>76</v>
      </c>
      <c r="AC4424" s="2" t="s">
        <v>77</v>
      </c>
      <c r="AK4424" s="2">
        <f t="shared" si="760"/>
        <v>104.48399999999999</v>
      </c>
      <c r="AL4424" s="5">
        <f t="shared" si="766"/>
        <v>0.45427826086956519</v>
      </c>
    </row>
    <row r="4425" spans="1:38" x14ac:dyDescent="0.2">
      <c r="A4425" s="2">
        <v>2026</v>
      </c>
      <c r="B4425" s="2">
        <v>7</v>
      </c>
      <c r="C4425" s="2" t="s">
        <v>3295</v>
      </c>
      <c r="D4425" s="15" t="s">
        <v>3343</v>
      </c>
      <c r="E4425" s="2" t="s">
        <v>38</v>
      </c>
      <c r="F4425" s="2" t="s">
        <v>39</v>
      </c>
      <c r="H4425" s="2" t="s">
        <v>40</v>
      </c>
      <c r="I4425" s="2" t="s">
        <v>3374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763"/>
        <v>0.34040000000000004</v>
      </c>
      <c r="V4425" s="2">
        <f t="shared" si="764"/>
        <v>1.8204</v>
      </c>
      <c r="W4425" s="2">
        <v>1.48</v>
      </c>
      <c r="X4425" s="5">
        <f t="shared" si="765"/>
        <v>0</v>
      </c>
      <c r="Z4425" s="2" t="s">
        <v>3226</v>
      </c>
      <c r="AA4425" s="2" t="s">
        <v>96</v>
      </c>
      <c r="AB4425" s="2" t="s">
        <v>76</v>
      </c>
      <c r="AC4425" s="2" t="s">
        <v>93</v>
      </c>
      <c r="AK4425" s="2">
        <f t="shared" si="760"/>
        <v>0</v>
      </c>
      <c r="AL4425" s="5">
        <f t="shared" si="766"/>
        <v>0</v>
      </c>
    </row>
    <row r="4426" spans="1:38" x14ac:dyDescent="0.2">
      <c r="A4426" s="2">
        <v>2026</v>
      </c>
      <c r="B4426" s="2">
        <v>7</v>
      </c>
      <c r="C4426" s="2" t="s">
        <v>3295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3373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763"/>
        <v>4.83</v>
      </c>
      <c r="V4426" s="2">
        <f t="shared" si="764"/>
        <v>25.83</v>
      </c>
      <c r="W4426" s="2">
        <f>9.3*S4426</f>
        <v>9.3000000000000007</v>
      </c>
      <c r="X4426" s="5">
        <f t="shared" si="765"/>
        <v>0.55714285714285716</v>
      </c>
      <c r="Z4426" s="2" t="s">
        <v>3226</v>
      </c>
      <c r="AA4426" s="2" t="s">
        <v>46</v>
      </c>
      <c r="AB4426" s="2" t="s">
        <v>47</v>
      </c>
      <c r="AC4426" s="2" t="s">
        <v>57</v>
      </c>
      <c r="AK4426" s="2">
        <f t="shared" si="760"/>
        <v>11.7</v>
      </c>
      <c r="AL4426" s="5">
        <f t="shared" si="766"/>
        <v>0.55714285714285716</v>
      </c>
    </row>
    <row r="4427" spans="1:38" x14ac:dyDescent="0.2">
      <c r="A4427" s="2">
        <v>2026</v>
      </c>
      <c r="B4427" s="2">
        <v>7</v>
      </c>
      <c r="C4427" s="2" t="s">
        <v>3295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3373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763"/>
        <v>8.2800000000000011</v>
      </c>
      <c r="V4427" s="2">
        <f t="shared" si="764"/>
        <v>44.28</v>
      </c>
      <c r="W4427" s="2">
        <f>10.6*S4427</f>
        <v>21.2</v>
      </c>
      <c r="X4427" s="5">
        <f t="shared" si="765"/>
        <v>0.41111111111111115</v>
      </c>
      <c r="Z4427" s="2" t="s">
        <v>3226</v>
      </c>
      <c r="AA4427" s="2" t="s">
        <v>46</v>
      </c>
      <c r="AB4427" s="2" t="s">
        <v>56</v>
      </c>
      <c r="AC4427" s="2" t="s">
        <v>57</v>
      </c>
      <c r="AK4427" s="2">
        <f t="shared" si="760"/>
        <v>14.8</v>
      </c>
      <c r="AL4427" s="5">
        <f t="shared" si="766"/>
        <v>0.41111111111111115</v>
      </c>
    </row>
    <row r="4428" spans="1:38" x14ac:dyDescent="0.2">
      <c r="A4428" s="2">
        <v>2026</v>
      </c>
      <c r="B4428" s="2">
        <v>7</v>
      </c>
      <c r="C4428" s="2" t="s">
        <v>3295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3373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763"/>
        <v>3.22</v>
      </c>
      <c r="V4428" s="2">
        <f t="shared" si="764"/>
        <v>17.22</v>
      </c>
      <c r="W4428" s="2">
        <f>0.0914*S4428</f>
        <v>9.1399999999999988</v>
      </c>
      <c r="X4428" s="5">
        <f t="shared" si="765"/>
        <v>0.34714285714285725</v>
      </c>
      <c r="Z4428" s="2" t="s">
        <v>3226</v>
      </c>
      <c r="AA4428" s="2" t="s">
        <v>46</v>
      </c>
      <c r="AB4428" s="2" t="s">
        <v>60</v>
      </c>
      <c r="AC4428" s="2" t="s">
        <v>57</v>
      </c>
      <c r="AK4428" s="2">
        <f t="shared" si="760"/>
        <v>4.8600000000000012</v>
      </c>
      <c r="AL4428" s="5">
        <f t="shared" si="766"/>
        <v>0.34714285714285725</v>
      </c>
    </row>
    <row r="4429" spans="1:38" x14ac:dyDescent="0.2">
      <c r="A4429" s="2">
        <v>2026</v>
      </c>
      <c r="B4429" s="2">
        <v>7</v>
      </c>
      <c r="C4429" s="2" t="s">
        <v>3294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3372</v>
      </c>
      <c r="P4429" s="2" t="s">
        <v>114</v>
      </c>
      <c r="Q4429" s="16" t="s">
        <v>3362</v>
      </c>
      <c r="R4429" s="15" t="s">
        <v>3363</v>
      </c>
      <c r="S4429" s="13">
        <v>12</v>
      </c>
      <c r="T4429" s="14">
        <v>157.75</v>
      </c>
      <c r="U4429" s="2">
        <f t="shared" si="763"/>
        <v>36.282499999999999</v>
      </c>
      <c r="V4429" s="2">
        <f t="shared" si="764"/>
        <v>194.0325</v>
      </c>
      <c r="W4429" s="2">
        <f>6.26*S4429</f>
        <v>75.12</v>
      </c>
      <c r="X4429" s="5">
        <f t="shared" si="765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60"/>
        <v>82.63</v>
      </c>
      <c r="AL4429" s="5">
        <f t="shared" si="766"/>
        <v>0.52380348652931852</v>
      </c>
    </row>
    <row r="4430" spans="1:38" x14ac:dyDescent="0.2">
      <c r="A4430" s="2">
        <v>2026</v>
      </c>
      <c r="B4430" s="2">
        <v>7</v>
      </c>
      <c r="C4430" s="2" t="s">
        <v>3294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3372</v>
      </c>
      <c r="P4430" s="2" t="s">
        <v>114</v>
      </c>
      <c r="Q4430" s="16" t="s">
        <v>3364</v>
      </c>
      <c r="R4430" s="15" t="s">
        <v>3365</v>
      </c>
      <c r="S4430" s="13">
        <v>2</v>
      </c>
      <c r="T4430" s="14">
        <v>571.12</v>
      </c>
      <c r="U4430" s="2">
        <f t="shared" si="763"/>
        <v>131.35760000000002</v>
      </c>
      <c r="V4430" s="2">
        <f t="shared" si="764"/>
        <v>702.47760000000005</v>
      </c>
      <c r="W4430" s="2">
        <f>135.98+1.76*S4430</f>
        <v>139.5</v>
      </c>
      <c r="X4430" s="5">
        <f t="shared" si="765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60"/>
        <v>431.62</v>
      </c>
      <c r="AL4430" s="5">
        <f t="shared" si="766"/>
        <v>0.75574310127468836</v>
      </c>
    </row>
    <row r="4431" spans="1:38" x14ac:dyDescent="0.2">
      <c r="A4431" s="2">
        <v>2026</v>
      </c>
      <c r="B4431" s="2">
        <v>7</v>
      </c>
      <c r="C4431" s="2" t="s">
        <v>3294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3372</v>
      </c>
      <c r="P4431" s="2" t="s">
        <v>114</v>
      </c>
      <c r="Q4431" s="16" t="s">
        <v>3366</v>
      </c>
      <c r="R4431" s="15" t="s">
        <v>3367</v>
      </c>
      <c r="S4431" s="13">
        <v>16</v>
      </c>
      <c r="T4431" s="14">
        <v>117.6</v>
      </c>
      <c r="U4431" s="2">
        <f t="shared" si="763"/>
        <v>27.047999999999998</v>
      </c>
      <c r="V4431" s="2">
        <f t="shared" si="764"/>
        <v>144.648</v>
      </c>
      <c r="W4431" s="2">
        <f>3.5+5*S4431</f>
        <v>83.5</v>
      </c>
      <c r="X4431" s="5">
        <f t="shared" si="765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760"/>
        <v>34.099999999999994</v>
      </c>
      <c r="AL4431" s="5">
        <f t="shared" si="766"/>
        <v>0.28996598639455778</v>
      </c>
    </row>
    <row r="4432" spans="1:38" x14ac:dyDescent="0.2">
      <c r="A4432" s="2">
        <v>2026</v>
      </c>
      <c r="B4432" s="2">
        <v>7</v>
      </c>
      <c r="C4432" s="2" t="s">
        <v>3424</v>
      </c>
      <c r="D4432" s="2" t="s">
        <v>37</v>
      </c>
      <c r="E4432" s="2" t="s">
        <v>38</v>
      </c>
      <c r="F4432" s="2" t="s">
        <v>39</v>
      </c>
      <c r="L4432" s="2" t="s">
        <v>3269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763"/>
        <v>11.040000000000001</v>
      </c>
      <c r="V4432" s="2">
        <f t="shared" si="764"/>
        <v>59.04</v>
      </c>
      <c r="W4432" s="2">
        <f>10.6*S4432</f>
        <v>31.799999999999997</v>
      </c>
      <c r="X4432" s="5">
        <f t="shared" si="765"/>
        <v>0.33750000000000008</v>
      </c>
      <c r="Z4432" s="2" t="s">
        <v>3226</v>
      </c>
      <c r="AA4432" s="2" t="s">
        <v>46</v>
      </c>
      <c r="AB4432" s="2" t="s">
        <v>56</v>
      </c>
      <c r="AC4432" s="2" t="s">
        <v>57</v>
      </c>
      <c r="AK4432" s="2">
        <f t="shared" si="760"/>
        <v>16.200000000000003</v>
      </c>
      <c r="AL4432" s="5">
        <f t="shared" si="766"/>
        <v>0.33750000000000008</v>
      </c>
    </row>
    <row r="4433" spans="1:38" x14ac:dyDescent="0.2">
      <c r="A4433" s="2">
        <v>2026</v>
      </c>
      <c r="B4433" s="2">
        <v>7</v>
      </c>
      <c r="C4433" s="2" t="s">
        <v>3424</v>
      </c>
      <c r="D4433" s="2" t="s">
        <v>37</v>
      </c>
      <c r="E4433" s="2" t="s">
        <v>38</v>
      </c>
      <c r="F4433" s="2" t="s">
        <v>39</v>
      </c>
      <c r="L4433" s="2" t="s">
        <v>3269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763"/>
        <v>16.100000000000001</v>
      </c>
      <c r="V4433" s="2">
        <f t="shared" si="764"/>
        <v>86.1</v>
      </c>
      <c r="W4433" s="2">
        <f>0.082*S4433</f>
        <v>57.400000000000006</v>
      </c>
      <c r="X4433" s="5">
        <f t="shared" si="765"/>
        <v>0.17999999999999991</v>
      </c>
      <c r="Z4433" s="2" t="s">
        <v>3226</v>
      </c>
      <c r="AA4433" s="2" t="s">
        <v>46</v>
      </c>
      <c r="AB4433" s="2" t="s">
        <v>60</v>
      </c>
      <c r="AC4433" s="2" t="s">
        <v>57</v>
      </c>
      <c r="AK4433" s="2">
        <f t="shared" si="760"/>
        <v>12.599999999999994</v>
      </c>
      <c r="AL4433" s="5">
        <f t="shared" si="766"/>
        <v>0.17999999999999991</v>
      </c>
    </row>
    <row r="4434" spans="1:38" x14ac:dyDescent="0.2">
      <c r="A4434" s="2">
        <v>2026</v>
      </c>
      <c r="B4434" s="2">
        <v>7</v>
      </c>
      <c r="C4434" s="2" t="s">
        <v>3424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763"/>
        <v>3.2866999999999997</v>
      </c>
      <c r="V4434" s="2">
        <f t="shared" si="764"/>
        <v>17.576699999999999</v>
      </c>
      <c r="W4434" s="2">
        <f>5.33*S4434</f>
        <v>5.33</v>
      </c>
      <c r="X4434" s="5">
        <f t="shared" si="765"/>
        <v>0.62701189643107069</v>
      </c>
      <c r="Y4434" s="2" t="s">
        <v>3300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60"/>
        <v>8.9599999999999991</v>
      </c>
      <c r="AL4434" s="5">
        <f>(T4434-W4434)/T4434</f>
        <v>0.62701189643107069</v>
      </c>
    </row>
    <row r="4435" spans="1:38" x14ac:dyDescent="0.2">
      <c r="A4435" s="2">
        <v>2026</v>
      </c>
      <c r="B4435" s="2">
        <v>7</v>
      </c>
      <c r="C4435" s="2" t="s">
        <v>3424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763"/>
        <v>96.367699999999999</v>
      </c>
      <c r="V4435" s="2">
        <f t="shared" si="764"/>
        <v>515.35770000000002</v>
      </c>
      <c r="W4435" s="2">
        <v>237.8466</v>
      </c>
      <c r="X4435" s="5">
        <f t="shared" si="765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760"/>
        <v>181.14340000000001</v>
      </c>
      <c r="AL4435" s="5">
        <f t="shared" si="766"/>
        <v>0.43233346857920241</v>
      </c>
    </row>
    <row r="4436" spans="1:38" x14ac:dyDescent="0.2">
      <c r="A4436" s="2">
        <v>2026</v>
      </c>
      <c r="B4436" s="2">
        <v>7</v>
      </c>
      <c r="C4436" s="2" t="s">
        <v>3424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763"/>
        <v>22.77</v>
      </c>
      <c r="V4436" s="2">
        <f t="shared" si="764"/>
        <v>121.77</v>
      </c>
      <c r="W4436" s="2">
        <f>T4436*40%</f>
        <v>39.6</v>
      </c>
      <c r="X4436" s="5">
        <f t="shared" si="765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760"/>
        <v>59.4</v>
      </c>
      <c r="AL4436" s="5">
        <f t="shared" si="766"/>
        <v>0.6</v>
      </c>
    </row>
    <row r="4437" spans="1:38" x14ac:dyDescent="0.2">
      <c r="A4437" s="2">
        <v>2026</v>
      </c>
      <c r="B4437" s="2">
        <v>7</v>
      </c>
      <c r="C4437" s="2" t="s">
        <v>3424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763"/>
        <v>11.385</v>
      </c>
      <c r="V4437" s="2">
        <f t="shared" si="764"/>
        <v>60.884999999999998</v>
      </c>
      <c r="W4437" s="2">
        <f>T4437*50%</f>
        <v>24.75</v>
      </c>
      <c r="X4437" s="5">
        <f t="shared" si="765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760"/>
        <v>24.75</v>
      </c>
      <c r="AL4437" s="5">
        <f t="shared" si="766"/>
        <v>0.5</v>
      </c>
    </row>
    <row r="4438" spans="1:38" x14ac:dyDescent="0.2">
      <c r="A4438" s="2">
        <v>2026</v>
      </c>
      <c r="B4438" s="2">
        <v>7</v>
      </c>
      <c r="C4438" s="2" t="s">
        <v>3424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2996</v>
      </c>
      <c r="R4438" s="23" t="s">
        <v>2997</v>
      </c>
      <c r="S4438" s="21">
        <v>1</v>
      </c>
      <c r="T4438" s="22">
        <v>1130.5</v>
      </c>
      <c r="U4438" s="2">
        <f t="shared" si="763"/>
        <v>260.01499999999999</v>
      </c>
      <c r="V4438" s="2">
        <f t="shared" si="764"/>
        <v>1390.5149999999999</v>
      </c>
      <c r="W4438" s="2">
        <v>773.5</v>
      </c>
      <c r="X4438" s="5">
        <f t="shared" si="765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760"/>
        <v>357</v>
      </c>
      <c r="AL4438" s="5">
        <f t="shared" si="766"/>
        <v>0.31578947368421051</v>
      </c>
    </row>
    <row r="4439" spans="1:38" x14ac:dyDescent="0.2">
      <c r="A4439" s="2">
        <v>2026</v>
      </c>
      <c r="B4439" s="2">
        <v>7</v>
      </c>
      <c r="C4439" s="2" t="s">
        <v>3424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763"/>
        <v>13.8</v>
      </c>
      <c r="V4439" s="2">
        <f t="shared" si="764"/>
        <v>73.8</v>
      </c>
      <c r="W4439" s="2">
        <f>T4439*40%</f>
        <v>24</v>
      </c>
      <c r="X4439" s="5">
        <f t="shared" si="765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760"/>
        <v>36</v>
      </c>
      <c r="AL4439" s="5">
        <f t="shared" si="766"/>
        <v>0.6</v>
      </c>
    </row>
    <row r="4440" spans="1:38" x14ac:dyDescent="0.2">
      <c r="A4440" s="2">
        <v>2026</v>
      </c>
      <c r="B4440" s="2">
        <v>7</v>
      </c>
      <c r="C4440" s="2" t="s">
        <v>3424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763"/>
        <v>25.3</v>
      </c>
      <c r="V4440" s="2">
        <f t="shared" si="764"/>
        <v>135.30000000000001</v>
      </c>
      <c r="W4440" s="2">
        <f>T4440*50%</f>
        <v>55</v>
      </c>
      <c r="X4440" s="5">
        <f t="shared" si="765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760"/>
        <v>55</v>
      </c>
      <c r="AL4440" s="5">
        <f t="shared" si="766"/>
        <v>0.5</v>
      </c>
    </row>
    <row r="4441" spans="1:38" x14ac:dyDescent="0.2">
      <c r="A4441" s="2">
        <v>2026</v>
      </c>
      <c r="B4441" s="2">
        <v>7</v>
      </c>
      <c r="C4441" s="2" t="s">
        <v>3424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763"/>
        <v>52.900000000000006</v>
      </c>
      <c r="V4441" s="2">
        <f t="shared" si="764"/>
        <v>282.89999999999998</v>
      </c>
      <c r="W4441" s="2">
        <v>134.57</v>
      </c>
      <c r="X4441" s="5">
        <f t="shared" si="765"/>
        <v>0.41491304347826091</v>
      </c>
      <c r="Z4441" s="2" t="s">
        <v>3226</v>
      </c>
      <c r="AA4441" s="2" t="s">
        <v>75</v>
      </c>
      <c r="AB4441" s="2" t="s">
        <v>76</v>
      </c>
      <c r="AC4441" s="2" t="s">
        <v>77</v>
      </c>
      <c r="AK4441" s="2">
        <f t="shared" si="760"/>
        <v>95.43</v>
      </c>
      <c r="AL4441" s="5">
        <f t="shared" si="766"/>
        <v>0.41491304347826091</v>
      </c>
    </row>
    <row r="4442" spans="1:38" x14ac:dyDescent="0.2">
      <c r="A4442" s="2">
        <v>2026</v>
      </c>
      <c r="B4442" s="2">
        <v>7</v>
      </c>
      <c r="C4442" s="2" t="s">
        <v>3424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763"/>
        <v>0.34040000000000004</v>
      </c>
      <c r="V4442" s="2">
        <f t="shared" si="764"/>
        <v>1.8204</v>
      </c>
      <c r="W4442" s="2">
        <v>1.48</v>
      </c>
      <c r="X4442" s="5">
        <f t="shared" si="765"/>
        <v>0</v>
      </c>
      <c r="Z4442" s="2" t="s">
        <v>3226</v>
      </c>
      <c r="AA4442" s="2" t="s">
        <v>96</v>
      </c>
      <c r="AB4442" s="2" t="s">
        <v>76</v>
      </c>
      <c r="AC4442" s="2" t="s">
        <v>93</v>
      </c>
      <c r="AK4442" s="2">
        <f t="shared" si="760"/>
        <v>0</v>
      </c>
      <c r="AL4442" s="5">
        <f t="shared" si="766"/>
        <v>0</v>
      </c>
    </row>
    <row r="4443" spans="1:38" x14ac:dyDescent="0.2">
      <c r="A4443" s="2">
        <v>2026</v>
      </c>
      <c r="B4443" s="2">
        <v>7</v>
      </c>
      <c r="C4443" s="2" t="s">
        <v>3424</v>
      </c>
      <c r="D4443" s="2" t="s">
        <v>3425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763"/>
        <v>52.900000000000006</v>
      </c>
      <c r="V4443" s="2">
        <f t="shared" si="764"/>
        <v>282.89999999999998</v>
      </c>
      <c r="W4443" s="2">
        <v>133.4614</v>
      </c>
      <c r="X4443" s="5">
        <f t="shared" si="765"/>
        <v>0.4197330434782609</v>
      </c>
      <c r="Z4443" s="2" t="s">
        <v>3226</v>
      </c>
      <c r="AA4443" s="2" t="s">
        <v>75</v>
      </c>
      <c r="AB4443" s="2" t="s">
        <v>76</v>
      </c>
      <c r="AC4443" s="2" t="s">
        <v>77</v>
      </c>
      <c r="AK4443" s="2">
        <f t="shared" si="760"/>
        <v>96.538600000000002</v>
      </c>
      <c r="AL4443" s="5">
        <f t="shared" si="766"/>
        <v>0.4197330434782609</v>
      </c>
    </row>
    <row r="4444" spans="1:38" x14ac:dyDescent="0.2">
      <c r="A4444" s="2">
        <v>2026</v>
      </c>
      <c r="B4444" s="2">
        <v>7</v>
      </c>
      <c r="C4444" s="2" t="s">
        <v>3424</v>
      </c>
      <c r="D4444" s="2" t="s">
        <v>3425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763"/>
        <v>0.34040000000000004</v>
      </c>
      <c r="V4444" s="2">
        <f t="shared" si="764"/>
        <v>1.8204</v>
      </c>
      <c r="W4444" s="2">
        <v>1.48</v>
      </c>
      <c r="X4444" s="5">
        <f t="shared" si="765"/>
        <v>0</v>
      </c>
      <c r="Z4444" s="2" t="s">
        <v>3226</v>
      </c>
      <c r="AA4444" s="2" t="s">
        <v>96</v>
      </c>
      <c r="AB4444" s="2" t="s">
        <v>76</v>
      </c>
      <c r="AC4444" s="2" t="s">
        <v>93</v>
      </c>
      <c r="AK4444" s="2">
        <f t="shared" si="760"/>
        <v>0</v>
      </c>
      <c r="AL4444" s="5">
        <f t="shared" si="766"/>
        <v>0</v>
      </c>
    </row>
    <row r="4445" spans="1:38" x14ac:dyDescent="0.2">
      <c r="A4445" s="2">
        <v>2026</v>
      </c>
      <c r="B4445" s="2">
        <v>7</v>
      </c>
      <c r="C4445" s="2" t="s">
        <v>3424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763"/>
        <v>51.313000000000002</v>
      </c>
      <c r="V4445" s="2">
        <f t="shared" si="764"/>
        <v>274.41300000000001</v>
      </c>
      <c r="W4445" s="2">
        <v>141.16</v>
      </c>
      <c r="X4445" s="5">
        <f t="shared" si="765"/>
        <v>0.36727924697445091</v>
      </c>
      <c r="Z4445" s="2" t="s">
        <v>3226</v>
      </c>
      <c r="AA4445" s="2" t="s">
        <v>75</v>
      </c>
      <c r="AB4445" s="2" t="s">
        <v>76</v>
      </c>
      <c r="AC4445" s="2" t="s">
        <v>1038</v>
      </c>
      <c r="AK4445" s="2">
        <f t="shared" si="760"/>
        <v>81.94</v>
      </c>
      <c r="AL4445" s="5">
        <f t="shared" si="766"/>
        <v>0.36727924697445091</v>
      </c>
    </row>
    <row r="4446" spans="1:38" x14ac:dyDescent="0.2">
      <c r="A4446" s="2">
        <v>2026</v>
      </c>
      <c r="B4446" s="2">
        <v>7</v>
      </c>
      <c r="C4446" s="2" t="s">
        <v>3424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763"/>
        <v>0.34040000000000004</v>
      </c>
      <c r="V4446" s="2">
        <f t="shared" si="764"/>
        <v>1.8204</v>
      </c>
      <c r="W4446" s="2">
        <v>1.48</v>
      </c>
      <c r="X4446" s="5">
        <f t="shared" si="765"/>
        <v>0</v>
      </c>
      <c r="Z4446" s="2" t="s">
        <v>3226</v>
      </c>
      <c r="AA4446" s="2" t="s">
        <v>96</v>
      </c>
      <c r="AB4446" s="2" t="s">
        <v>76</v>
      </c>
      <c r="AC4446" s="2" t="s">
        <v>93</v>
      </c>
      <c r="AK4446" s="2">
        <f t="shared" si="760"/>
        <v>0</v>
      </c>
      <c r="AL4446" s="5">
        <f t="shared" si="766"/>
        <v>0</v>
      </c>
    </row>
    <row r="4447" spans="1:38" x14ac:dyDescent="0.2">
      <c r="A4447" s="2">
        <v>2026</v>
      </c>
      <c r="B4447" s="2">
        <v>7</v>
      </c>
      <c r="C4447" s="2" t="s">
        <v>3424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763"/>
        <v>4.83</v>
      </c>
      <c r="V4447" s="2">
        <f t="shared" si="764"/>
        <v>25.83</v>
      </c>
      <c r="W4447" s="2">
        <f>14.4*S4447</f>
        <v>14.4</v>
      </c>
      <c r="X4447" s="5">
        <f t="shared" si="765"/>
        <v>0.31428571428571428</v>
      </c>
      <c r="Z4447" s="2" t="s">
        <v>3226</v>
      </c>
      <c r="AA4447" s="2" t="s">
        <v>46</v>
      </c>
      <c r="AB4447" s="2" t="s">
        <v>47</v>
      </c>
      <c r="AC4447" s="2" t="s">
        <v>57</v>
      </c>
      <c r="AK4447" s="2">
        <f t="shared" si="760"/>
        <v>6.6</v>
      </c>
      <c r="AL4447" s="5">
        <f t="shared" si="766"/>
        <v>0.31428571428571428</v>
      </c>
    </row>
    <row r="4448" spans="1:38" x14ac:dyDescent="0.2">
      <c r="A4448" s="2">
        <v>2026</v>
      </c>
      <c r="B4448" s="2">
        <v>7</v>
      </c>
      <c r="C4448" s="2" t="s">
        <v>3424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767">T4448*23%</f>
        <v>8.2800000000000011</v>
      </c>
      <c r="V4448" s="2">
        <f t="shared" ref="V4448:V4479" si="768">T4448+U4448</f>
        <v>44.28</v>
      </c>
      <c r="W4448" s="2">
        <f>10.6*S4448</f>
        <v>21.2</v>
      </c>
      <c r="X4448" s="5">
        <f t="shared" si="765"/>
        <v>0.41111111111111115</v>
      </c>
      <c r="Z4448" s="2" t="s">
        <v>3226</v>
      </c>
      <c r="AA4448" s="2" t="s">
        <v>46</v>
      </c>
      <c r="AB4448" s="2" t="s">
        <v>56</v>
      </c>
      <c r="AC4448" s="2" t="s">
        <v>57</v>
      </c>
      <c r="AK4448" s="2">
        <f t="shared" si="760"/>
        <v>14.8</v>
      </c>
      <c r="AL4448" s="5">
        <f t="shared" si="766"/>
        <v>0.41111111111111115</v>
      </c>
    </row>
    <row r="4449" spans="1:38" x14ac:dyDescent="0.2">
      <c r="A4449" s="2">
        <v>2026</v>
      </c>
      <c r="B4449" s="2">
        <v>7</v>
      </c>
      <c r="C4449" s="2" t="s">
        <v>3424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767"/>
        <v>1.84</v>
      </c>
      <c r="V4449" s="2">
        <f t="shared" si="768"/>
        <v>9.84</v>
      </c>
      <c r="W4449" s="2">
        <v>6</v>
      </c>
      <c r="X4449" s="5">
        <f t="shared" si="765"/>
        <v>0.25</v>
      </c>
      <c r="Z4449" s="2" t="s">
        <v>169</v>
      </c>
      <c r="AA4449" s="2" t="s">
        <v>169</v>
      </c>
      <c r="AK4449" s="2">
        <f t="shared" si="760"/>
        <v>2</v>
      </c>
      <c r="AL4449" s="5">
        <f t="shared" si="766"/>
        <v>0.25</v>
      </c>
    </row>
    <row r="4450" spans="1:38" x14ac:dyDescent="0.2">
      <c r="A4450" s="2">
        <v>2026</v>
      </c>
      <c r="B4450" s="2">
        <v>7</v>
      </c>
      <c r="C4450" s="2" t="s">
        <v>3424</v>
      </c>
      <c r="D4450" s="2" t="s">
        <v>433</v>
      </c>
      <c r="E4450" s="2" t="s">
        <v>38</v>
      </c>
      <c r="F4450" s="2" t="s">
        <v>39</v>
      </c>
      <c r="G4450" s="2">
        <v>507405250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767"/>
        <v>92</v>
      </c>
      <c r="V4450" s="2">
        <f t="shared" si="768"/>
        <v>492</v>
      </c>
      <c r="W4450" s="2">
        <f>14.5099*S4450</f>
        <v>290.19799999999998</v>
      </c>
      <c r="X4450" s="5">
        <f t="shared" si="765"/>
        <v>0.27450500000000005</v>
      </c>
      <c r="Z4450" s="2" t="s">
        <v>3226</v>
      </c>
      <c r="AA4450" s="2" t="s">
        <v>46</v>
      </c>
      <c r="AB4450" s="2" t="s">
        <v>60</v>
      </c>
      <c r="AC4450" s="2" t="s">
        <v>3331</v>
      </c>
      <c r="AK4450" s="2">
        <f t="shared" si="760"/>
        <v>109.80200000000002</v>
      </c>
      <c r="AL4450" s="5">
        <f t="shared" si="766"/>
        <v>0.27450500000000005</v>
      </c>
    </row>
    <row r="4451" spans="1:38" x14ac:dyDescent="0.2">
      <c r="A4451" s="2">
        <v>2026</v>
      </c>
      <c r="B4451" s="2">
        <v>7</v>
      </c>
      <c r="C4451" s="2" t="s">
        <v>3424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767"/>
        <v>11.96</v>
      </c>
      <c r="V4451" s="2">
        <f t="shared" si="768"/>
        <v>63.96</v>
      </c>
      <c r="W4451" s="2">
        <f>6.6267*S4451</f>
        <v>26.506799999999998</v>
      </c>
      <c r="X4451" s="5">
        <f t="shared" si="765"/>
        <v>0.49025384615384621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60"/>
        <v>25.493200000000002</v>
      </c>
      <c r="AL4451" s="5">
        <f t="shared" si="766"/>
        <v>0.49025384615384621</v>
      </c>
    </row>
    <row r="4452" spans="1:38" x14ac:dyDescent="0.2">
      <c r="A4452" s="2">
        <v>2026</v>
      </c>
      <c r="B4452" s="2">
        <v>7</v>
      </c>
      <c r="C4452" s="2" t="s">
        <v>3424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767"/>
        <v>4.83</v>
      </c>
      <c r="V4452" s="2">
        <f t="shared" si="768"/>
        <v>25.83</v>
      </c>
      <c r="W4452" s="2">
        <f>14.4*S4452</f>
        <v>14.4</v>
      </c>
      <c r="X4452" s="5">
        <f t="shared" si="765"/>
        <v>0.31428571428571428</v>
      </c>
      <c r="Z4452" s="2" t="s">
        <v>3226</v>
      </c>
      <c r="AA4452" s="2" t="s">
        <v>46</v>
      </c>
      <c r="AB4452" s="2" t="s">
        <v>47</v>
      </c>
      <c r="AC4452" s="2" t="s">
        <v>57</v>
      </c>
      <c r="AK4452" s="2">
        <f t="shared" si="760"/>
        <v>6.6</v>
      </c>
      <c r="AL4452" s="5">
        <f t="shared" si="766"/>
        <v>0.31428571428571428</v>
      </c>
    </row>
    <row r="4453" spans="1:38" x14ac:dyDescent="0.2">
      <c r="A4453" s="2">
        <v>2026</v>
      </c>
      <c r="B4453" s="2">
        <v>7</v>
      </c>
      <c r="C4453" s="2" t="s">
        <v>3424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3426</v>
      </c>
      <c r="R4453" s="2" t="s">
        <v>3427</v>
      </c>
      <c r="S4453" s="13">
        <v>1</v>
      </c>
      <c r="T4453" s="14">
        <v>287</v>
      </c>
      <c r="U4453" s="2">
        <f t="shared" si="767"/>
        <v>66.010000000000005</v>
      </c>
      <c r="V4453" s="2">
        <f t="shared" si="768"/>
        <v>353.01</v>
      </c>
      <c r="W4453" s="2">
        <v>157.85</v>
      </c>
      <c r="X4453" s="5">
        <f t="shared" si="765"/>
        <v>0.45</v>
      </c>
      <c r="Z4453" s="2" t="s">
        <v>3226</v>
      </c>
      <c r="AA4453" s="2" t="s">
        <v>75</v>
      </c>
      <c r="AB4453" s="2" t="s">
        <v>76</v>
      </c>
      <c r="AC4453" s="2" t="s">
        <v>77</v>
      </c>
      <c r="AK4453" s="2">
        <f t="shared" si="760"/>
        <v>129.15</v>
      </c>
      <c r="AL4453" s="5">
        <f t="shared" si="766"/>
        <v>0.45</v>
      </c>
    </row>
    <row r="4454" spans="1:38" x14ac:dyDescent="0.2">
      <c r="A4454" s="2">
        <v>2026</v>
      </c>
      <c r="B4454" s="2">
        <v>7</v>
      </c>
      <c r="C4454" s="2" t="s">
        <v>3424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767"/>
        <v>0.34040000000000004</v>
      </c>
      <c r="V4454" s="2">
        <f t="shared" si="768"/>
        <v>1.8204</v>
      </c>
      <c r="W4454" s="2">
        <v>1.48</v>
      </c>
      <c r="X4454" s="5">
        <f t="shared" si="765"/>
        <v>0</v>
      </c>
      <c r="Z4454" s="2" t="s">
        <v>3226</v>
      </c>
      <c r="AA4454" s="2" t="s">
        <v>96</v>
      </c>
      <c r="AB4454" s="2" t="s">
        <v>76</v>
      </c>
      <c r="AC4454" s="2" t="s">
        <v>93</v>
      </c>
      <c r="AK4454" s="2">
        <f t="shared" si="760"/>
        <v>0</v>
      </c>
      <c r="AL4454" s="5">
        <f t="shared" si="766"/>
        <v>0</v>
      </c>
    </row>
    <row r="4455" spans="1:38" x14ac:dyDescent="0.2">
      <c r="A4455" s="2">
        <v>2026</v>
      </c>
      <c r="B4455" s="2">
        <v>7</v>
      </c>
      <c r="C4455" s="2" t="s">
        <v>3424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3428</v>
      </c>
      <c r="R4455" s="2" t="s">
        <v>3429</v>
      </c>
      <c r="S4455" s="13">
        <v>1</v>
      </c>
      <c r="T4455" s="14">
        <v>390</v>
      </c>
      <c r="U4455" s="2">
        <f t="shared" si="767"/>
        <v>89.7</v>
      </c>
      <c r="V4455" s="2">
        <f t="shared" si="768"/>
        <v>479.7</v>
      </c>
      <c r="W4455" s="2">
        <v>217</v>
      </c>
      <c r="X4455" s="5">
        <f t="shared" ref="X4455:X4471" si="769">(T4455-W4455)/T4455</f>
        <v>0.44358974358974357</v>
      </c>
      <c r="Z4455" s="2" t="s">
        <v>3226</v>
      </c>
      <c r="AA4455" s="2" t="s">
        <v>75</v>
      </c>
      <c r="AB4455" s="2" t="s">
        <v>76</v>
      </c>
      <c r="AC4455" s="2" t="s">
        <v>1038</v>
      </c>
      <c r="AK4455" s="2">
        <f t="shared" si="760"/>
        <v>173</v>
      </c>
      <c r="AL4455" s="5">
        <f t="shared" ref="AL4455:AL4471" si="770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3424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767"/>
        <v>3.45</v>
      </c>
      <c r="V4456" s="2">
        <f t="shared" si="768"/>
        <v>18.45</v>
      </c>
      <c r="W4456" s="2">
        <v>28</v>
      </c>
      <c r="X4456" s="5">
        <f t="shared" si="769"/>
        <v>-0.8666666666666667</v>
      </c>
      <c r="Z4456" s="2" t="s">
        <v>169</v>
      </c>
      <c r="AA4456" s="2" t="s">
        <v>169</v>
      </c>
      <c r="AK4456" s="2">
        <f t="shared" si="760"/>
        <v>-13</v>
      </c>
      <c r="AL4456" s="5">
        <f t="shared" si="770"/>
        <v>-0.8666666666666667</v>
      </c>
    </row>
    <row r="4457" spans="1:38" x14ac:dyDescent="0.2">
      <c r="A4457" s="2">
        <v>2026</v>
      </c>
      <c r="B4457" s="2">
        <v>7</v>
      </c>
      <c r="C4457" s="2" t="s">
        <v>3424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767"/>
        <v>0.34040000000000004</v>
      </c>
      <c r="V4457" s="2">
        <f t="shared" si="768"/>
        <v>1.8204</v>
      </c>
      <c r="W4457" s="2">
        <v>1.48</v>
      </c>
      <c r="X4457" s="5">
        <f t="shared" si="769"/>
        <v>0</v>
      </c>
      <c r="Z4457" s="2" t="s">
        <v>3226</v>
      </c>
      <c r="AA4457" s="2" t="s">
        <v>96</v>
      </c>
      <c r="AB4457" s="2" t="s">
        <v>76</v>
      </c>
      <c r="AC4457" s="2" t="s">
        <v>93</v>
      </c>
      <c r="AK4457" s="2">
        <f t="shared" si="760"/>
        <v>0</v>
      </c>
      <c r="AL4457" s="5">
        <f t="shared" si="770"/>
        <v>0</v>
      </c>
    </row>
    <row r="4458" spans="1:38" x14ac:dyDescent="0.2">
      <c r="A4458" s="2">
        <v>2026</v>
      </c>
      <c r="B4458" s="2">
        <v>7</v>
      </c>
      <c r="C4458" s="2" t="s">
        <v>3424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3430</v>
      </c>
      <c r="R4458" s="2" t="s">
        <v>3431</v>
      </c>
      <c r="S4458" s="13">
        <v>4</v>
      </c>
      <c r="T4458" s="14">
        <v>569.1</v>
      </c>
      <c r="U4458" s="2">
        <f t="shared" si="767"/>
        <v>130.893</v>
      </c>
      <c r="V4458" s="2">
        <f t="shared" si="768"/>
        <v>699.99300000000005</v>
      </c>
      <c r="W4458" s="2">
        <f>86.81*S4458</f>
        <v>347.24</v>
      </c>
      <c r="X4458" s="5">
        <f t="shared" si="769"/>
        <v>0.38984361272184154</v>
      </c>
      <c r="Z4458" s="2" t="s">
        <v>3226</v>
      </c>
      <c r="AA4458" s="2" t="s">
        <v>1041</v>
      </c>
      <c r="AB4458" s="2" t="s">
        <v>1270</v>
      </c>
      <c r="AC4458" s="2" t="s">
        <v>1038</v>
      </c>
      <c r="AK4458" s="2">
        <f t="shared" si="760"/>
        <v>221.86</v>
      </c>
      <c r="AL4458" s="5">
        <f t="shared" si="770"/>
        <v>0.38984361272184154</v>
      </c>
    </row>
    <row r="4459" spans="1:38" x14ac:dyDescent="0.2">
      <c r="A4459" s="2">
        <v>2026</v>
      </c>
      <c r="B4459" s="2">
        <v>7</v>
      </c>
      <c r="C4459" s="2" t="s">
        <v>3424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767"/>
        <v>111.55000000000001</v>
      </c>
      <c r="V4459" s="2">
        <f t="shared" si="768"/>
        <v>596.54999999999995</v>
      </c>
      <c r="W4459" s="2">
        <f>150.9766*S4459</f>
        <v>301.95319999999998</v>
      </c>
      <c r="X4459" s="5">
        <f t="shared" si="769"/>
        <v>0.37741608247422687</v>
      </c>
      <c r="Z4459" s="2" t="s">
        <v>3226</v>
      </c>
      <c r="AA4459" s="2" t="s">
        <v>75</v>
      </c>
      <c r="AB4459" s="2" t="s">
        <v>76</v>
      </c>
      <c r="AC4459" s="2" t="s">
        <v>77</v>
      </c>
      <c r="AK4459" s="2">
        <f t="shared" si="760"/>
        <v>183.04680000000002</v>
      </c>
      <c r="AL4459" s="5">
        <f t="shared" si="770"/>
        <v>0.37741608247422687</v>
      </c>
    </row>
    <row r="4460" spans="1:38" x14ac:dyDescent="0.2">
      <c r="A4460" s="2">
        <v>2026</v>
      </c>
      <c r="B4460" s="2">
        <v>7</v>
      </c>
      <c r="C4460" s="2" t="s">
        <v>3424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3432</v>
      </c>
      <c r="R4460" s="2" t="s">
        <v>3433</v>
      </c>
      <c r="S4460" s="13">
        <v>1</v>
      </c>
      <c r="T4460" s="14">
        <v>232.8</v>
      </c>
      <c r="U4460" s="2">
        <f t="shared" si="767"/>
        <v>53.544000000000004</v>
      </c>
      <c r="V4460" s="2">
        <f t="shared" si="768"/>
        <v>286.34399999999999</v>
      </c>
      <c r="W4460" s="2">
        <v>128.99</v>
      </c>
      <c r="X4460" s="5">
        <f t="shared" si="769"/>
        <v>0.44591924398625427</v>
      </c>
      <c r="Z4460" s="2" t="s">
        <v>3226</v>
      </c>
      <c r="AA4460" s="2" t="s">
        <v>75</v>
      </c>
      <c r="AB4460" s="2" t="s">
        <v>76</v>
      </c>
      <c r="AC4460" s="2" t="s">
        <v>1038</v>
      </c>
      <c r="AK4460" s="2">
        <f t="shared" si="760"/>
        <v>103.81</v>
      </c>
      <c r="AL4460" s="5">
        <f t="shared" si="770"/>
        <v>0.44591924398625427</v>
      </c>
    </row>
    <row r="4461" spans="1:38" x14ac:dyDescent="0.2">
      <c r="A4461" s="2">
        <v>2026</v>
      </c>
      <c r="B4461" s="2">
        <v>7</v>
      </c>
      <c r="C4461" s="2" t="s">
        <v>3424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767"/>
        <v>1.0212000000000001</v>
      </c>
      <c r="V4461" s="2">
        <f t="shared" si="768"/>
        <v>5.4612000000000007</v>
      </c>
      <c r="W4461" s="2">
        <f>1.48*S4461</f>
        <v>4.4399999999999995</v>
      </c>
      <c r="X4461" s="5">
        <f t="shared" si="769"/>
        <v>2.000401846171453E-16</v>
      </c>
      <c r="Z4461" s="2" t="s">
        <v>3226</v>
      </c>
      <c r="AA4461" s="2" t="s">
        <v>96</v>
      </c>
      <c r="AB4461" s="2" t="s">
        <v>76</v>
      </c>
      <c r="AC4461" s="2" t="s">
        <v>93</v>
      </c>
      <c r="AK4461" s="2">
        <f t="shared" si="760"/>
        <v>0</v>
      </c>
      <c r="AL4461" s="5">
        <f t="shared" si="770"/>
        <v>2.000401846171453E-16</v>
      </c>
    </row>
    <row r="4462" spans="1:38" x14ac:dyDescent="0.2">
      <c r="A4462" s="2">
        <v>2026</v>
      </c>
      <c r="B4462" s="2">
        <v>7</v>
      </c>
      <c r="C4462" s="2" t="s">
        <v>3424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767"/>
        <v>11.96</v>
      </c>
      <c r="V4462" s="2">
        <f t="shared" si="768"/>
        <v>63.96</v>
      </c>
      <c r="W4462" s="2">
        <f>6.6267*S4462</f>
        <v>26.506799999999998</v>
      </c>
      <c r="X4462" s="5">
        <f t="shared" si="769"/>
        <v>0.49025384615384621</v>
      </c>
      <c r="Z4462" s="2" t="s">
        <v>3226</v>
      </c>
      <c r="AA4462" s="2" t="s">
        <v>46</v>
      </c>
      <c r="AB4462" s="2" t="s">
        <v>47</v>
      </c>
      <c r="AC4462" s="2" t="s">
        <v>57</v>
      </c>
      <c r="AK4462" s="2">
        <f t="shared" si="760"/>
        <v>25.493200000000002</v>
      </c>
      <c r="AL4462" s="5">
        <f t="shared" si="770"/>
        <v>0.49025384615384621</v>
      </c>
    </row>
    <row r="4463" spans="1:38" x14ac:dyDescent="0.2">
      <c r="A4463" s="2">
        <v>2026</v>
      </c>
      <c r="B4463" s="2">
        <v>7</v>
      </c>
      <c r="C4463" s="2" t="s">
        <v>3424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767"/>
        <v>4.1400000000000006</v>
      </c>
      <c r="V4463" s="12">
        <f t="shared" si="768"/>
        <v>22.14</v>
      </c>
      <c r="W4463" s="2">
        <f>10.6*S4463</f>
        <v>10.6</v>
      </c>
      <c r="X4463" s="5">
        <f t="shared" si="769"/>
        <v>0.41111111111111115</v>
      </c>
      <c r="Z4463" s="2" t="s">
        <v>3226</v>
      </c>
      <c r="AA4463" s="2" t="s">
        <v>46</v>
      </c>
      <c r="AB4463" s="2" t="s">
        <v>56</v>
      </c>
      <c r="AC4463" s="2" t="s">
        <v>57</v>
      </c>
      <c r="AK4463" s="2">
        <f t="shared" si="760"/>
        <v>7.4</v>
      </c>
      <c r="AL4463" s="5">
        <f t="shared" si="770"/>
        <v>0.41111111111111115</v>
      </c>
    </row>
    <row r="4464" spans="1:38" x14ac:dyDescent="0.2">
      <c r="A4464" s="2">
        <v>2026</v>
      </c>
      <c r="B4464" s="2">
        <v>7</v>
      </c>
      <c r="C4464" s="2" t="s">
        <v>3424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767"/>
        <v>3.22</v>
      </c>
      <c r="V4464" s="12">
        <f t="shared" si="768"/>
        <v>17.22</v>
      </c>
      <c r="W4464" s="2">
        <f>0.0914*S4464</f>
        <v>9.1399999999999988</v>
      </c>
      <c r="X4464" s="5">
        <f t="shared" si="769"/>
        <v>0.34714285714285725</v>
      </c>
      <c r="Z4464" s="2" t="s">
        <v>3226</v>
      </c>
      <c r="AA4464" s="2" t="s">
        <v>46</v>
      </c>
      <c r="AB4464" s="2" t="s">
        <v>60</v>
      </c>
      <c r="AC4464" s="2" t="s">
        <v>57</v>
      </c>
      <c r="AK4464" s="2">
        <f t="shared" si="760"/>
        <v>4.8600000000000012</v>
      </c>
      <c r="AL4464" s="5">
        <f t="shared" si="770"/>
        <v>0.34714285714285725</v>
      </c>
    </row>
    <row r="4465" spans="1:38" x14ac:dyDescent="0.2">
      <c r="A4465" s="2">
        <v>2026</v>
      </c>
      <c r="B4465" s="2">
        <v>7</v>
      </c>
      <c r="C4465" s="2" t="s">
        <v>3424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767"/>
        <v>33.35</v>
      </c>
      <c r="V4465" s="12">
        <f t="shared" si="768"/>
        <v>178.35</v>
      </c>
      <c r="W4465" s="2">
        <f>14.5099*S4465</f>
        <v>72.549499999999995</v>
      </c>
      <c r="X4465" s="5">
        <f t="shared" si="769"/>
        <v>0.49965862068965522</v>
      </c>
      <c r="Z4465" s="2" t="s">
        <v>3226</v>
      </c>
      <c r="AA4465" s="2" t="s">
        <v>46</v>
      </c>
      <c r="AB4465" s="2" t="s">
        <v>60</v>
      </c>
      <c r="AC4465" s="2" t="s">
        <v>3331</v>
      </c>
      <c r="AK4465" s="2">
        <f t="shared" si="760"/>
        <v>72.450500000000005</v>
      </c>
      <c r="AL4465" s="5">
        <f t="shared" si="770"/>
        <v>0.49965862068965522</v>
      </c>
    </row>
    <row r="4466" spans="1:38" x14ac:dyDescent="0.2">
      <c r="A4466" s="2">
        <v>2026</v>
      </c>
      <c r="B4466" s="2">
        <v>7</v>
      </c>
      <c r="C4466" s="2" t="s">
        <v>3424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767"/>
        <v>5.6097000000000001</v>
      </c>
      <c r="V4466" s="12">
        <f t="shared" si="768"/>
        <v>29.999700000000001</v>
      </c>
      <c r="W4466" s="2">
        <f>11.2466</f>
        <v>11.246600000000001</v>
      </c>
      <c r="X4466" s="5">
        <f t="shared" si="769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760"/>
        <v>13.1434</v>
      </c>
      <c r="AL4466" s="5">
        <f t="shared" si="770"/>
        <v>0.53888478884788849</v>
      </c>
    </row>
    <row r="4467" spans="1:38" x14ac:dyDescent="0.2">
      <c r="A4467" s="2">
        <v>2026</v>
      </c>
      <c r="B4467" s="2">
        <v>7</v>
      </c>
      <c r="C4467" s="2" t="s">
        <v>3424</v>
      </c>
      <c r="D4467" s="24" t="s">
        <v>2049</v>
      </c>
      <c r="E4467" s="2" t="s">
        <v>108</v>
      </c>
      <c r="F4467" s="2" t="s">
        <v>39</v>
      </c>
      <c r="G4467" s="2">
        <v>514960337</v>
      </c>
      <c r="H4467" s="2" t="s">
        <v>290</v>
      </c>
      <c r="I4467" s="2" t="s">
        <v>2779</v>
      </c>
      <c r="J4467" s="2" t="s">
        <v>2820</v>
      </c>
      <c r="K4467" s="2">
        <v>914732950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767"/>
        <v>1.84</v>
      </c>
      <c r="V4467" s="12">
        <f t="shared" si="768"/>
        <v>9.84</v>
      </c>
      <c r="W4467" s="2">
        <v>6</v>
      </c>
      <c r="X4467" s="5">
        <f t="shared" si="769"/>
        <v>0.25</v>
      </c>
      <c r="Z4467" s="2" t="s">
        <v>169</v>
      </c>
      <c r="AA4467" s="2" t="s">
        <v>169</v>
      </c>
      <c r="AK4467" s="2">
        <f t="shared" si="760"/>
        <v>2</v>
      </c>
      <c r="AL4467" s="5">
        <f t="shared" si="770"/>
        <v>0.25</v>
      </c>
    </row>
    <row r="4468" spans="1:38" x14ac:dyDescent="0.2">
      <c r="A4468" s="2">
        <v>2026</v>
      </c>
      <c r="B4468" s="2">
        <v>7</v>
      </c>
      <c r="C4468" s="2" t="s">
        <v>3424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767"/>
        <v>56.695</v>
      </c>
      <c r="V4468" s="12">
        <f t="shared" si="768"/>
        <v>303.19499999999999</v>
      </c>
      <c r="W4468" s="2">
        <v>133.4614</v>
      </c>
      <c r="X4468" s="5">
        <f t="shared" si="769"/>
        <v>0.4585744421906694</v>
      </c>
      <c r="Z4468" s="2" t="s">
        <v>3226</v>
      </c>
      <c r="AA4468" s="2" t="s">
        <v>75</v>
      </c>
      <c r="AB4468" s="2" t="s">
        <v>76</v>
      </c>
      <c r="AC4468" s="2" t="s">
        <v>77</v>
      </c>
      <c r="AK4468" s="2">
        <f t="shared" si="760"/>
        <v>113.0386</v>
      </c>
      <c r="AL4468" s="5">
        <f t="shared" si="770"/>
        <v>0.4585744421906694</v>
      </c>
    </row>
    <row r="4469" spans="1:38" x14ac:dyDescent="0.2">
      <c r="A4469" s="2">
        <v>2026</v>
      </c>
      <c r="B4469" s="2">
        <v>7</v>
      </c>
      <c r="C4469" s="2" t="s">
        <v>3424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767"/>
        <v>0.34040000000000004</v>
      </c>
      <c r="V4469" s="12">
        <f t="shared" si="768"/>
        <v>1.8204</v>
      </c>
      <c r="W4469" s="2">
        <v>1.48</v>
      </c>
      <c r="X4469" s="5">
        <f t="shared" si="769"/>
        <v>0</v>
      </c>
      <c r="Z4469" s="2" t="s">
        <v>3226</v>
      </c>
      <c r="AA4469" s="2" t="s">
        <v>96</v>
      </c>
      <c r="AB4469" s="2" t="s">
        <v>76</v>
      </c>
      <c r="AC4469" s="2" t="s">
        <v>93</v>
      </c>
      <c r="AK4469" s="2">
        <f t="shared" ref="AK4469:AK4483" si="771">T4469-W4469</f>
        <v>0</v>
      </c>
      <c r="AL4469" s="5">
        <f t="shared" si="770"/>
        <v>0</v>
      </c>
    </row>
    <row r="4470" spans="1:38" x14ac:dyDescent="0.2">
      <c r="A4470" s="2">
        <v>2026</v>
      </c>
      <c r="B4470" s="2">
        <v>7</v>
      </c>
      <c r="C4470" s="2" t="s">
        <v>3424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767"/>
        <v>8.2800000000000011</v>
      </c>
      <c r="V4470" s="12">
        <f t="shared" si="768"/>
        <v>44.28</v>
      </c>
      <c r="W4470" s="2">
        <f>0.8561*S4470</f>
        <v>17.122</v>
      </c>
      <c r="X4470" s="5">
        <f t="shared" si="769"/>
        <v>0.5243888888888889</v>
      </c>
      <c r="Z4470" s="2" t="s">
        <v>3226</v>
      </c>
      <c r="AA4470" s="2" t="s">
        <v>46</v>
      </c>
      <c r="AB4470" s="2" t="s">
        <v>60</v>
      </c>
      <c r="AC4470" s="2" t="s">
        <v>57</v>
      </c>
      <c r="AK4470" s="2">
        <f t="shared" si="771"/>
        <v>18.878</v>
      </c>
      <c r="AL4470" s="5">
        <f t="shared" si="770"/>
        <v>0.5243888888888889</v>
      </c>
    </row>
    <row r="4471" spans="1:38" x14ac:dyDescent="0.2">
      <c r="A4471" s="2">
        <v>2026</v>
      </c>
      <c r="B4471" s="2">
        <v>7</v>
      </c>
      <c r="C4471" s="2" t="s">
        <v>3424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767"/>
        <v>136.85</v>
      </c>
      <c r="V4471" s="12">
        <f t="shared" si="768"/>
        <v>731.85</v>
      </c>
      <c r="W4471" s="2">
        <v>297</v>
      </c>
      <c r="X4471" s="5">
        <f t="shared" si="769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771"/>
        <v>298</v>
      </c>
      <c r="AL4471" s="5">
        <f t="shared" si="770"/>
        <v>0.50084033613445378</v>
      </c>
    </row>
    <row r="4472" spans="1:38" x14ac:dyDescent="0.2">
      <c r="A4472" s="2">
        <v>2026</v>
      </c>
      <c r="B4472" s="2">
        <v>7</v>
      </c>
      <c r="C4472" s="2" t="s">
        <v>3424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767"/>
        <v>0</v>
      </c>
      <c r="V4472" s="12">
        <f t="shared" si="768"/>
        <v>0</v>
      </c>
      <c r="W4472" s="2">
        <f>14.5099</f>
        <v>14.5099</v>
      </c>
      <c r="Z4472" s="2" t="s">
        <v>3226</v>
      </c>
      <c r="AA4472" s="2" t="s">
        <v>46</v>
      </c>
      <c r="AB4472" s="2" t="s">
        <v>60</v>
      </c>
      <c r="AC4472" s="2" t="s">
        <v>3331</v>
      </c>
      <c r="AK4472" s="2">
        <f t="shared" si="771"/>
        <v>-14.5099</v>
      </c>
    </row>
    <row r="4473" spans="1:38" x14ac:dyDescent="0.2">
      <c r="A4473" s="2">
        <v>2026</v>
      </c>
      <c r="B4473" s="2">
        <v>7</v>
      </c>
      <c r="C4473" s="2" t="s">
        <v>3424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767"/>
        <v>52.900000000000006</v>
      </c>
      <c r="V4473" s="12">
        <f t="shared" si="768"/>
        <v>282.89999999999998</v>
      </c>
      <c r="W4473" s="2">
        <v>122.446</v>
      </c>
      <c r="X4473" s="5">
        <f t="shared" ref="X4473:X4483" si="772">(T4473-W4473)/T4473</f>
        <v>0.46762608695652175</v>
      </c>
      <c r="Z4473" s="2" t="s">
        <v>3226</v>
      </c>
      <c r="AA4473" s="2" t="s">
        <v>75</v>
      </c>
      <c r="AB4473" s="2" t="s">
        <v>76</v>
      </c>
      <c r="AC4473" s="2" t="s">
        <v>77</v>
      </c>
      <c r="AK4473" s="2">
        <f t="shared" si="771"/>
        <v>107.554</v>
      </c>
      <c r="AL4473" s="5">
        <f t="shared" ref="AL4473:AL4483" si="773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3424</v>
      </c>
      <c r="D4474" s="2" t="s">
        <v>433</v>
      </c>
      <c r="E4474" s="2" t="s">
        <v>38</v>
      </c>
      <c r="F4474" s="2" t="s">
        <v>39</v>
      </c>
      <c r="G4474" s="2">
        <v>507405250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767"/>
        <v>0.34040000000000004</v>
      </c>
      <c r="V4474" s="12">
        <f t="shared" si="768"/>
        <v>1.8204</v>
      </c>
      <c r="W4474" s="2">
        <v>1.48</v>
      </c>
      <c r="X4474" s="5">
        <f t="shared" si="772"/>
        <v>0</v>
      </c>
      <c r="Z4474" s="2" t="s">
        <v>3226</v>
      </c>
      <c r="AA4474" s="2" t="s">
        <v>96</v>
      </c>
      <c r="AB4474" s="2" t="s">
        <v>76</v>
      </c>
      <c r="AC4474" s="2" t="s">
        <v>93</v>
      </c>
      <c r="AK4474" s="2">
        <f t="shared" si="771"/>
        <v>0</v>
      </c>
      <c r="AL4474" s="5">
        <f t="shared" si="773"/>
        <v>0</v>
      </c>
    </row>
    <row r="4475" spans="1:38" x14ac:dyDescent="0.2">
      <c r="A4475" s="2">
        <v>2026</v>
      </c>
      <c r="B4475" s="2">
        <v>7</v>
      </c>
      <c r="C4475" s="2" t="s">
        <v>3424</v>
      </c>
      <c r="D4475" s="2" t="s">
        <v>3465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767"/>
        <v>3447.7000000000003</v>
      </c>
      <c r="V4475" s="12">
        <f t="shared" si="768"/>
        <v>18437.7</v>
      </c>
      <c r="W4475" s="2">
        <f>10699.41+285.74</f>
        <v>10985.15</v>
      </c>
      <c r="X4475" s="5">
        <f t="shared" si="772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771"/>
        <v>4004.8500000000004</v>
      </c>
      <c r="AL4475" s="5">
        <f t="shared" si="773"/>
        <v>0.26716811207471652</v>
      </c>
    </row>
    <row r="4476" spans="1:38" x14ac:dyDescent="0.2">
      <c r="A4476" s="2">
        <v>2026</v>
      </c>
      <c r="B4476" s="2">
        <v>7</v>
      </c>
      <c r="C4476" s="2" t="s">
        <v>3424</v>
      </c>
      <c r="D4476" s="2" t="s">
        <v>3462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3463</v>
      </c>
      <c r="R4476" s="2" t="s">
        <v>3464</v>
      </c>
      <c r="S4476" s="13">
        <v>1</v>
      </c>
      <c r="T4476" s="14">
        <v>1500</v>
      </c>
      <c r="U4476" s="2">
        <f t="shared" si="767"/>
        <v>345</v>
      </c>
      <c r="V4476" s="12">
        <f t="shared" si="768"/>
        <v>1845</v>
      </c>
      <c r="W4476" s="2">
        <f>T4476*75%</f>
        <v>1125</v>
      </c>
      <c r="X4476" s="5">
        <f t="shared" si="772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771"/>
        <v>375</v>
      </c>
      <c r="AL4476" s="5">
        <f t="shared" si="773"/>
        <v>0.25</v>
      </c>
    </row>
    <row r="4477" spans="1:38" x14ac:dyDescent="0.2">
      <c r="A4477" s="2">
        <v>2026</v>
      </c>
      <c r="B4477" s="2">
        <v>7</v>
      </c>
      <c r="C4477" s="2" t="s">
        <v>3295</v>
      </c>
      <c r="D4477" s="2" t="s">
        <v>37</v>
      </c>
      <c r="E4477" s="2" t="s">
        <v>38</v>
      </c>
      <c r="F4477" s="2" t="s">
        <v>39</v>
      </c>
      <c r="L4477" s="2" t="s">
        <v>3269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767"/>
        <v>4.1400000000000006</v>
      </c>
      <c r="V4477" s="2">
        <f t="shared" si="768"/>
        <v>22.14</v>
      </c>
      <c r="W4477" s="2">
        <f>6.6267*S4477</f>
        <v>13.253399999999999</v>
      </c>
      <c r="X4477" s="5">
        <f t="shared" si="772"/>
        <v>0.26370000000000005</v>
      </c>
      <c r="Z4477" s="2" t="s">
        <v>3226</v>
      </c>
      <c r="AA4477" s="2" t="s">
        <v>46</v>
      </c>
      <c r="AB4477" s="2" t="s">
        <v>47</v>
      </c>
      <c r="AC4477" s="2" t="s">
        <v>57</v>
      </c>
      <c r="AK4477" s="2">
        <f t="shared" si="771"/>
        <v>4.7466000000000008</v>
      </c>
      <c r="AL4477" s="5">
        <f t="shared" si="773"/>
        <v>0.26370000000000005</v>
      </c>
    </row>
    <row r="4478" spans="1:38" x14ac:dyDescent="0.2">
      <c r="A4478" s="2">
        <v>2026</v>
      </c>
      <c r="B4478" s="2">
        <v>7</v>
      </c>
      <c r="C4478" s="2" t="s">
        <v>3295</v>
      </c>
      <c r="D4478" s="2" t="s">
        <v>37</v>
      </c>
      <c r="E4478" s="2" t="s">
        <v>38</v>
      </c>
      <c r="F4478" s="2" t="s">
        <v>39</v>
      </c>
      <c r="L4478" s="2" t="s">
        <v>3269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767"/>
        <v>8.7975000000000012</v>
      </c>
      <c r="V4478" s="2">
        <f t="shared" si="768"/>
        <v>47.047499999999999</v>
      </c>
      <c r="W4478" s="2">
        <f>10.6*S4478</f>
        <v>31.799999999999997</v>
      </c>
      <c r="X4478" s="5">
        <f t="shared" si="772"/>
        <v>0.16862745098039222</v>
      </c>
      <c r="Z4478" s="2" t="s">
        <v>3226</v>
      </c>
      <c r="AA4478" s="2" t="s">
        <v>46</v>
      </c>
      <c r="AB4478" s="2" t="s">
        <v>56</v>
      </c>
      <c r="AC4478" s="2" t="s">
        <v>57</v>
      </c>
      <c r="AK4478" s="2">
        <f t="shared" si="771"/>
        <v>6.4500000000000028</v>
      </c>
      <c r="AL4478" s="5">
        <f t="shared" si="773"/>
        <v>0.16862745098039222</v>
      </c>
    </row>
    <row r="4479" spans="1:38" x14ac:dyDescent="0.2">
      <c r="A4479" s="2">
        <v>2026</v>
      </c>
      <c r="B4479" s="2">
        <v>7</v>
      </c>
      <c r="C4479" s="2" t="s">
        <v>3295</v>
      </c>
      <c r="D4479" s="2" t="s">
        <v>37</v>
      </c>
      <c r="E4479" s="2" t="s">
        <v>38</v>
      </c>
      <c r="F4479" s="2" t="s">
        <v>39</v>
      </c>
      <c r="L4479" s="2" t="s">
        <v>3269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767"/>
        <v>1.3800000000000001</v>
      </c>
      <c r="V4479" s="2">
        <f t="shared" si="768"/>
        <v>7.38</v>
      </c>
      <c r="W4479" s="2">
        <v>2.5051000000000001</v>
      </c>
      <c r="X4479" s="5">
        <f t="shared" si="772"/>
        <v>0.58248333333333335</v>
      </c>
      <c r="Z4479" s="2" t="s">
        <v>3226</v>
      </c>
      <c r="AA4479" s="2" t="s">
        <v>87</v>
      </c>
      <c r="AB4479" s="2" t="s">
        <v>90</v>
      </c>
      <c r="AC4479" s="2" t="s">
        <v>84</v>
      </c>
      <c r="AK4479" s="2">
        <f t="shared" si="771"/>
        <v>3.4948999999999999</v>
      </c>
      <c r="AL4479" s="5">
        <f t="shared" si="773"/>
        <v>0.58248333333333335</v>
      </c>
    </row>
    <row r="4480" spans="1:38" ht="22.5" x14ac:dyDescent="0.2">
      <c r="A4480" s="2">
        <v>2026</v>
      </c>
      <c r="B4480" s="2">
        <v>6</v>
      </c>
      <c r="C4480" s="2" t="s">
        <v>3293</v>
      </c>
      <c r="D4480" s="2" t="s">
        <v>3099</v>
      </c>
      <c r="E4480" s="2" t="s">
        <v>38</v>
      </c>
      <c r="F4480" s="2" t="s">
        <v>39</v>
      </c>
      <c r="H4480" s="2" t="s">
        <v>109</v>
      </c>
      <c r="I4480" s="2" t="s">
        <v>3283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74">T4480*23%</f>
        <v>3450</v>
      </c>
      <c r="V4480" s="2">
        <f t="shared" ref="V4480:V4483" si="775">T4480+U4480</f>
        <v>18450</v>
      </c>
      <c r="W4480" s="2">
        <v>10985.15</v>
      </c>
      <c r="X4480" s="5">
        <f t="shared" si="772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771"/>
        <v>4014.8500000000004</v>
      </c>
      <c r="AL4480" s="5">
        <f t="shared" si="773"/>
        <v>0.26765666666666671</v>
      </c>
    </row>
    <row r="4481" spans="1:38" x14ac:dyDescent="0.2">
      <c r="A4481" s="2">
        <v>2026</v>
      </c>
      <c r="B4481" s="2">
        <v>7</v>
      </c>
      <c r="C4481" s="2" t="s">
        <v>3424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74"/>
        <v>1.3800000000000001</v>
      </c>
      <c r="V4481" s="2">
        <f t="shared" si="775"/>
        <v>7.38</v>
      </c>
      <c r="W4481" s="2">
        <v>2.94</v>
      </c>
      <c r="X4481" s="5">
        <f t="shared" si="772"/>
        <v>0.51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71"/>
        <v>3.06</v>
      </c>
      <c r="AL4481" s="5">
        <f t="shared" si="773"/>
        <v>0.51</v>
      </c>
    </row>
    <row r="4482" spans="1:38" x14ac:dyDescent="0.2">
      <c r="A4482" s="2">
        <v>2026</v>
      </c>
      <c r="B4482" s="2">
        <v>7</v>
      </c>
      <c r="C4482" s="2" t="s">
        <v>3424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74"/>
        <v>1.6560000000000001</v>
      </c>
      <c r="V4482" s="2">
        <f t="shared" si="775"/>
        <v>8.8559999999999999</v>
      </c>
      <c r="W4482" s="2">
        <v>2.5051000000000001</v>
      </c>
      <c r="X4482" s="5">
        <f t="shared" si="772"/>
        <v>0.65206944444444448</v>
      </c>
      <c r="Z4482" s="2" t="s">
        <v>3226</v>
      </c>
      <c r="AA4482" s="2" t="s">
        <v>87</v>
      </c>
      <c r="AB4482" s="2" t="s">
        <v>90</v>
      </c>
      <c r="AC4482" s="2" t="s">
        <v>84</v>
      </c>
      <c r="AK4482" s="2">
        <f t="shared" si="771"/>
        <v>4.6949000000000005</v>
      </c>
      <c r="AL4482" s="5">
        <f t="shared" si="773"/>
        <v>0.65206944444444448</v>
      </c>
    </row>
    <row r="4483" spans="1:38" x14ac:dyDescent="0.2">
      <c r="A4483" s="2">
        <v>2026</v>
      </c>
      <c r="B4483" s="2">
        <v>7</v>
      </c>
      <c r="C4483" s="2" t="s">
        <v>3424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74"/>
        <v>14.628</v>
      </c>
      <c r="V4483" s="2">
        <f t="shared" si="775"/>
        <v>78.228000000000009</v>
      </c>
      <c r="W4483" s="2">
        <v>35.78</v>
      </c>
      <c r="X4483" s="5">
        <f t="shared" si="772"/>
        <v>0.43742138364779876</v>
      </c>
      <c r="Z4483" s="2" t="s">
        <v>3226</v>
      </c>
      <c r="AA4483" s="2" t="s">
        <v>46</v>
      </c>
      <c r="AB4483" s="2" t="s">
        <v>90</v>
      </c>
      <c r="AC4483" s="2" t="s">
        <v>57</v>
      </c>
      <c r="AK4483" s="2">
        <f t="shared" si="771"/>
        <v>27.82</v>
      </c>
      <c r="AL4483" s="5">
        <f t="shared" si="773"/>
        <v>0.43742138364779876</v>
      </c>
    </row>
    <row r="4484" spans="1:38" x14ac:dyDescent="0.2">
      <c r="A4484" s="2">
        <v>2026</v>
      </c>
      <c r="B4484" s="2">
        <v>7</v>
      </c>
      <c r="C4484" s="2" t="s">
        <v>3424</v>
      </c>
      <c r="D4484" s="29" t="s">
        <v>3108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76">T4484*23%</f>
        <v>2.7600000000000002</v>
      </c>
      <c r="V4484" s="2">
        <f t="shared" ref="V4484:V4486" si="777">T4484+U4484</f>
        <v>14.76</v>
      </c>
      <c r="W4484" s="2">
        <v>6.86</v>
      </c>
      <c r="X4484" s="5">
        <f t="shared" ref="X4484:X4547" si="778">(T4484-W4484)/T4484</f>
        <v>0.42833333333333329</v>
      </c>
      <c r="Z4484" s="2" t="s">
        <v>3226</v>
      </c>
      <c r="AA4484" s="2" t="s">
        <v>87</v>
      </c>
      <c r="AB4484" s="2" t="s">
        <v>90</v>
      </c>
      <c r="AC4484" s="2" t="s">
        <v>84</v>
      </c>
      <c r="AK4484" s="2">
        <f t="shared" ref="AK4484" si="779">T4484-W4484</f>
        <v>5.14</v>
      </c>
      <c r="AL4484" s="5">
        <f t="shared" ref="AL4484" si="780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3475</v>
      </c>
      <c r="D4485" s="2" t="s">
        <v>3476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77"/>
        <v>12.3</v>
      </c>
      <c r="W4485" s="2">
        <v>8</v>
      </c>
      <c r="X4485" s="5">
        <f t="shared" si="778"/>
        <v>0.2</v>
      </c>
      <c r="Z4485" s="2" t="s">
        <v>169</v>
      </c>
      <c r="AA4485" s="2" t="s">
        <v>169</v>
      </c>
      <c r="AK4485" s="2">
        <f t="shared" ref="AK4485:AK4486" si="781">T4485-W4485</f>
        <v>2</v>
      </c>
      <c r="AL4485" s="5">
        <f t="shared" ref="AL4485:AL4486" si="782">(T4485-W4485)/T4485</f>
        <v>0.2</v>
      </c>
    </row>
    <row r="4486" spans="1:38" x14ac:dyDescent="0.2">
      <c r="A4486" s="2">
        <v>2026</v>
      </c>
      <c r="B4486" s="2">
        <v>7</v>
      </c>
      <c r="C4486" s="2" t="s">
        <v>3475</v>
      </c>
      <c r="D4486" s="2" t="s">
        <v>3476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77"/>
        <v>163.59</v>
      </c>
      <c r="X4486" s="5">
        <f t="shared" si="778"/>
        <v>1</v>
      </c>
      <c r="Z4486" s="2" t="s">
        <v>117</v>
      </c>
      <c r="AA4486" s="2" t="s">
        <v>1310</v>
      </c>
      <c r="AK4486" s="2">
        <f t="shared" si="781"/>
        <v>133</v>
      </c>
      <c r="AL4486" s="5">
        <f t="shared" si="782"/>
        <v>1</v>
      </c>
    </row>
    <row r="4487" spans="1:38" x14ac:dyDescent="0.2">
      <c r="A4487" s="2">
        <v>2026</v>
      </c>
      <c r="B4487" s="2">
        <v>7</v>
      </c>
      <c r="C4487" s="2" t="s">
        <v>3475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83">T4487*23%</f>
        <v>5.98</v>
      </c>
      <c r="V4487" s="2">
        <f t="shared" ref="V4487:V4493" si="784">T4487+U4487</f>
        <v>31.98</v>
      </c>
      <c r="W4487" s="2">
        <f>6.6267*S4487</f>
        <v>13.253399999999999</v>
      </c>
      <c r="X4487" s="5">
        <f t="shared" si="778"/>
        <v>0.49025384615384621</v>
      </c>
      <c r="Z4487" s="2" t="s">
        <v>3226</v>
      </c>
      <c r="AA4487" s="2" t="s">
        <v>46</v>
      </c>
      <c r="AB4487" s="2" t="s">
        <v>47</v>
      </c>
      <c r="AC4487" s="2" t="s">
        <v>57</v>
      </c>
      <c r="AK4487" s="2">
        <f t="shared" ref="AK4487:AK4516" si="785">T4487-W4487</f>
        <v>12.746600000000001</v>
      </c>
      <c r="AL4487" s="5">
        <f t="shared" ref="AL4487:AL4516" si="786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3475</v>
      </c>
      <c r="D4488" s="33" t="s">
        <v>3477</v>
      </c>
      <c r="E4488" s="2" t="s">
        <v>3376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3088</v>
      </c>
      <c r="R4488" s="33" t="s">
        <v>3089</v>
      </c>
      <c r="S4488" s="32">
        <v>1</v>
      </c>
      <c r="T4488" s="31">
        <v>2490</v>
      </c>
      <c r="U4488" s="2">
        <f t="shared" si="783"/>
        <v>572.70000000000005</v>
      </c>
      <c r="V4488" s="2">
        <f t="shared" si="784"/>
        <v>3062.7</v>
      </c>
      <c r="W4488" s="2">
        <f>1907.5+49</f>
        <v>1956.5</v>
      </c>
      <c r="X4488" s="5">
        <f t="shared" si="778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85"/>
        <v>533.5</v>
      </c>
      <c r="AL4488" s="5">
        <f t="shared" si="786"/>
        <v>0.21425702811244979</v>
      </c>
    </row>
    <row r="4489" spans="1:38" x14ac:dyDescent="0.2">
      <c r="A4489" s="2">
        <v>2026</v>
      </c>
      <c r="B4489" s="2">
        <v>7</v>
      </c>
      <c r="C4489" s="2" t="s">
        <v>3475</v>
      </c>
      <c r="D4489" s="33" t="s">
        <v>3477</v>
      </c>
      <c r="E4489" s="2" t="s">
        <v>3376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83"/>
        <v>0</v>
      </c>
      <c r="V4489" s="2">
        <f t="shared" si="784"/>
        <v>0</v>
      </c>
      <c r="W4489" s="2">
        <v>25.9</v>
      </c>
      <c r="Z4489" s="2" t="s">
        <v>3226</v>
      </c>
      <c r="AA4489" s="2" t="s">
        <v>578</v>
      </c>
      <c r="AB4489" s="2" t="s">
        <v>119</v>
      </c>
      <c r="AC4489" s="2" t="s">
        <v>1327</v>
      </c>
      <c r="AK4489" s="2">
        <f t="shared" si="785"/>
        <v>-25.9</v>
      </c>
    </row>
    <row r="4490" spans="1:38" x14ac:dyDescent="0.2">
      <c r="A4490" s="2">
        <v>2026</v>
      </c>
      <c r="B4490" s="2">
        <v>7</v>
      </c>
      <c r="C4490" s="2" t="s">
        <v>3475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83"/>
        <v>157.07390000000001</v>
      </c>
      <c r="V4490" s="2">
        <f t="shared" si="784"/>
        <v>840.00389999999993</v>
      </c>
      <c r="W4490" s="2">
        <f>119.81*S4490</f>
        <v>479.24</v>
      </c>
      <c r="X4490" s="5">
        <f t="shared" si="778"/>
        <v>0.2982589723690568</v>
      </c>
      <c r="Z4490" s="2" t="s">
        <v>3226</v>
      </c>
      <c r="AA4490" s="2" t="s">
        <v>1041</v>
      </c>
      <c r="AB4490" s="2" t="s">
        <v>1318</v>
      </c>
      <c r="AC4490" s="2" t="s">
        <v>1038</v>
      </c>
      <c r="AK4490" s="2">
        <f t="shared" si="785"/>
        <v>203.68999999999994</v>
      </c>
      <c r="AL4490" s="5">
        <f t="shared" si="786"/>
        <v>0.2982589723690568</v>
      </c>
    </row>
    <row r="4491" spans="1:38" x14ac:dyDescent="0.2">
      <c r="A4491" s="2">
        <v>2026</v>
      </c>
      <c r="B4491" s="2">
        <v>7</v>
      </c>
      <c r="C4491" s="2" t="s">
        <v>3475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83"/>
        <v>6.9</v>
      </c>
      <c r="V4491" s="2">
        <f t="shared" si="784"/>
        <v>36.9</v>
      </c>
      <c r="W4491" s="2">
        <v>43</v>
      </c>
      <c r="X4491" s="18">
        <f t="shared" si="778"/>
        <v>-0.43333333333333335</v>
      </c>
      <c r="Z4491" s="2" t="s">
        <v>169</v>
      </c>
      <c r="AA4491" s="2" t="s">
        <v>169</v>
      </c>
      <c r="AK4491" s="2">
        <f t="shared" si="785"/>
        <v>-13</v>
      </c>
      <c r="AL4491" s="18">
        <f t="shared" si="786"/>
        <v>-0.43333333333333335</v>
      </c>
    </row>
    <row r="4492" spans="1:38" x14ac:dyDescent="0.2">
      <c r="A4492" s="2">
        <v>2026</v>
      </c>
      <c r="B4492" s="2">
        <v>7</v>
      </c>
      <c r="C4492" s="2" t="s">
        <v>3475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83"/>
        <v>33.81</v>
      </c>
      <c r="V4492" s="2">
        <f t="shared" si="784"/>
        <v>180.81</v>
      </c>
      <c r="W4492" s="2">
        <f>T4492*40%</f>
        <v>58.800000000000004</v>
      </c>
      <c r="X4492" s="5">
        <f t="shared" si="778"/>
        <v>0.6</v>
      </c>
      <c r="Y4492" s="2" t="s">
        <v>3493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85"/>
        <v>88.199999999999989</v>
      </c>
      <c r="AL4492" s="5">
        <f t="shared" si="786"/>
        <v>0.6</v>
      </c>
    </row>
    <row r="4493" spans="1:38" x14ac:dyDescent="0.2">
      <c r="A4493" s="2">
        <v>2026</v>
      </c>
      <c r="B4493" s="2">
        <v>7</v>
      </c>
      <c r="C4493" s="2" t="s">
        <v>3475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83"/>
        <v>50.6</v>
      </c>
      <c r="V4493" s="2">
        <f t="shared" si="784"/>
        <v>270.60000000000002</v>
      </c>
      <c r="W4493" s="2">
        <f>T4493*50%</f>
        <v>110</v>
      </c>
      <c r="X4493" s="5">
        <f t="shared" si="778"/>
        <v>0.5</v>
      </c>
      <c r="Y4493" s="2" t="s">
        <v>3493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85"/>
        <v>110</v>
      </c>
      <c r="AL4493" s="5">
        <f t="shared" si="786"/>
        <v>0.5</v>
      </c>
    </row>
    <row r="4494" spans="1:38" x14ac:dyDescent="0.2">
      <c r="A4494" s="2">
        <v>2026</v>
      </c>
      <c r="B4494" s="2">
        <v>7</v>
      </c>
      <c r="C4494" s="2" t="s">
        <v>3475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83"/>
        <v>68.424999999999997</v>
      </c>
      <c r="V4494" s="2">
        <f t="shared" ref="V4494:V4497" si="787">T4494+U4494</f>
        <v>365.92500000000001</v>
      </c>
      <c r="W4494" s="2">
        <f>T4494*70%</f>
        <v>208.25</v>
      </c>
      <c r="X4494" s="5">
        <f t="shared" si="778"/>
        <v>0.3</v>
      </c>
      <c r="Y4494" s="2" t="s">
        <v>3493</v>
      </c>
      <c r="Z4494" s="2" t="s">
        <v>117</v>
      </c>
      <c r="AA4494" s="2" t="s">
        <v>1310</v>
      </c>
      <c r="AK4494" s="2">
        <f t="shared" si="785"/>
        <v>89.25</v>
      </c>
      <c r="AL4494" s="5">
        <f t="shared" si="786"/>
        <v>0.3</v>
      </c>
    </row>
    <row r="4495" spans="1:38" x14ac:dyDescent="0.2">
      <c r="A4495" s="2">
        <v>2026</v>
      </c>
      <c r="B4495" s="2">
        <v>7</v>
      </c>
      <c r="C4495" s="2" t="s">
        <v>3475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83"/>
        <v>46</v>
      </c>
      <c r="V4495" s="2">
        <f t="shared" si="787"/>
        <v>246</v>
      </c>
      <c r="W4495" s="2">
        <f t="shared" ref="W4495:W4498" si="788">14.5099*S4495</f>
        <v>145.09899999999999</v>
      </c>
      <c r="X4495" s="5">
        <f t="shared" si="778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3331</v>
      </c>
      <c r="AK4495" s="2">
        <f t="shared" si="785"/>
        <v>54.90100000000001</v>
      </c>
      <c r="AL4495" s="5">
        <f t="shared" si="786"/>
        <v>0.27450500000000005</v>
      </c>
    </row>
    <row r="4496" spans="1:38" x14ac:dyDescent="0.2">
      <c r="A4496" s="2">
        <v>2026</v>
      </c>
      <c r="B4496" s="2">
        <v>7</v>
      </c>
      <c r="C4496" s="2" t="s">
        <v>3475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83"/>
        <v>46</v>
      </c>
      <c r="V4496" s="2">
        <f t="shared" si="787"/>
        <v>246</v>
      </c>
      <c r="W4496" s="2">
        <f t="shared" si="788"/>
        <v>145.09899999999999</v>
      </c>
      <c r="X4496" s="5">
        <f t="shared" si="778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3331</v>
      </c>
      <c r="AK4496" s="2">
        <f t="shared" si="785"/>
        <v>54.90100000000001</v>
      </c>
      <c r="AL4496" s="5">
        <f t="shared" si="786"/>
        <v>0.27450500000000005</v>
      </c>
    </row>
    <row r="4497" spans="1:38" x14ac:dyDescent="0.2">
      <c r="A4497" s="2">
        <v>2026</v>
      </c>
      <c r="B4497" s="2">
        <v>7</v>
      </c>
      <c r="C4497" s="2" t="s">
        <v>3475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83"/>
        <v>46</v>
      </c>
      <c r="V4497" s="2">
        <f t="shared" si="787"/>
        <v>246</v>
      </c>
      <c r="W4497" s="2">
        <f t="shared" si="788"/>
        <v>145.09899999999999</v>
      </c>
      <c r="X4497" s="5">
        <f t="shared" si="778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3331</v>
      </c>
      <c r="AK4497" s="2">
        <f t="shared" si="785"/>
        <v>54.90100000000001</v>
      </c>
      <c r="AL4497" s="5">
        <f t="shared" si="786"/>
        <v>0.27450500000000005</v>
      </c>
    </row>
    <row r="4498" spans="1:38" x14ac:dyDescent="0.2">
      <c r="A4498" s="2">
        <v>2026</v>
      </c>
      <c r="B4498" s="2">
        <v>7</v>
      </c>
      <c r="C4498" s="2" t="s">
        <v>3475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83"/>
        <v>46</v>
      </c>
      <c r="V4498" s="2">
        <f t="shared" ref="V4498:V4505" si="789">T4498+U4498</f>
        <v>246</v>
      </c>
      <c r="W4498" s="2">
        <f t="shared" si="788"/>
        <v>145.09899999999999</v>
      </c>
      <c r="X4498" s="5">
        <f t="shared" si="778"/>
        <v>0.27450500000000005</v>
      </c>
      <c r="Z4498" s="2" t="s">
        <v>3226</v>
      </c>
      <c r="AA4498" s="2" t="s">
        <v>46</v>
      </c>
      <c r="AB4498" s="2" t="s">
        <v>60</v>
      </c>
      <c r="AC4498" s="2" t="s">
        <v>3331</v>
      </c>
      <c r="AK4498" s="2">
        <f t="shared" si="785"/>
        <v>54.90100000000001</v>
      </c>
      <c r="AL4498" s="5">
        <f t="shared" si="786"/>
        <v>0.27450500000000005</v>
      </c>
    </row>
    <row r="4499" spans="1:38" x14ac:dyDescent="0.2">
      <c r="A4499" s="2">
        <v>2026</v>
      </c>
      <c r="B4499" s="2">
        <v>7</v>
      </c>
      <c r="C4499" s="2" t="s">
        <v>3475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83"/>
        <v>147.7244</v>
      </c>
      <c r="V4499" s="2">
        <f t="shared" si="789"/>
        <v>790.00440000000003</v>
      </c>
      <c r="W4499" s="2">
        <f>112.4*S4499</f>
        <v>449.6</v>
      </c>
      <c r="X4499" s="5">
        <f t="shared" si="778"/>
        <v>0.29999377218658524</v>
      </c>
      <c r="Z4499" s="2" t="s">
        <v>3226</v>
      </c>
      <c r="AA4499" s="2" t="s">
        <v>1041</v>
      </c>
      <c r="AB4499" s="2" t="s">
        <v>1318</v>
      </c>
      <c r="AC4499" s="2" t="s">
        <v>1038</v>
      </c>
      <c r="AK4499" s="2">
        <f t="shared" si="785"/>
        <v>192.67999999999995</v>
      </c>
      <c r="AL4499" s="5">
        <f t="shared" si="786"/>
        <v>0.29999377218658524</v>
      </c>
    </row>
    <row r="4500" spans="1:38" x14ac:dyDescent="0.2">
      <c r="A4500" s="2">
        <v>2026</v>
      </c>
      <c r="B4500" s="2">
        <v>7</v>
      </c>
      <c r="C4500" s="2" t="s">
        <v>3475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83"/>
        <v>21.39</v>
      </c>
      <c r="V4500" s="2">
        <f t="shared" si="789"/>
        <v>114.39</v>
      </c>
      <c r="W4500" s="2">
        <f>T4500*40%</f>
        <v>37.200000000000003</v>
      </c>
      <c r="X4500" s="5">
        <f t="shared" si="778"/>
        <v>0.6</v>
      </c>
      <c r="Y4500" s="2" t="s">
        <v>3493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85"/>
        <v>55.8</v>
      </c>
      <c r="AL4500" s="5">
        <f t="shared" si="786"/>
        <v>0.6</v>
      </c>
    </row>
    <row r="4501" spans="1:38" x14ac:dyDescent="0.2">
      <c r="A4501" s="2">
        <v>2026</v>
      </c>
      <c r="B4501" s="2">
        <v>7</v>
      </c>
      <c r="C4501" s="2" t="s">
        <v>3475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83"/>
        <v>11.385</v>
      </c>
      <c r="V4501" s="2">
        <f t="shared" si="789"/>
        <v>60.884999999999998</v>
      </c>
      <c r="W4501" s="2">
        <f>T4501*50%</f>
        <v>24.75</v>
      </c>
      <c r="X4501" s="5">
        <f t="shared" si="778"/>
        <v>0.5</v>
      </c>
      <c r="Y4501" s="2" t="s">
        <v>3493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85"/>
        <v>24.75</v>
      </c>
      <c r="AL4501" s="5">
        <f t="shared" si="786"/>
        <v>0.5</v>
      </c>
    </row>
    <row r="4502" spans="1:38" x14ac:dyDescent="0.2">
      <c r="A4502" s="2">
        <v>2026</v>
      </c>
      <c r="B4502" s="2">
        <v>7</v>
      </c>
      <c r="C4502" s="2" t="s">
        <v>3475</v>
      </c>
      <c r="D4502" s="33" t="s">
        <v>3337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3478</v>
      </c>
      <c r="R4502" s="33" t="s">
        <v>3479</v>
      </c>
      <c r="S4502" s="32">
        <v>1</v>
      </c>
      <c r="T4502" s="31">
        <v>163.55000000000001</v>
      </c>
      <c r="U4502" s="2">
        <f t="shared" si="783"/>
        <v>37.616500000000002</v>
      </c>
      <c r="V4502" s="2">
        <f t="shared" si="789"/>
        <v>201.16650000000001</v>
      </c>
      <c r="W4502" s="2">
        <v>70.135000000000005</v>
      </c>
      <c r="X4502" s="5">
        <f t="shared" si="778"/>
        <v>0.57117089575053503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85"/>
        <v>93.415000000000006</v>
      </c>
      <c r="AL4502" s="5">
        <f t="shared" si="786"/>
        <v>0.57117089575053503</v>
      </c>
    </row>
    <row r="4503" spans="1:38" x14ac:dyDescent="0.2">
      <c r="A4503" s="2">
        <v>2026</v>
      </c>
      <c r="B4503" s="2">
        <v>7</v>
      </c>
      <c r="C4503" s="2" t="s">
        <v>3475</v>
      </c>
      <c r="D4503" s="33" t="s">
        <v>3337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83"/>
        <v>606.18110000000001</v>
      </c>
      <c r="V4503" s="2">
        <f t="shared" si="789"/>
        <v>3241.7511000000004</v>
      </c>
      <c r="W4503" s="2">
        <f>543.6775</f>
        <v>543.67750000000001</v>
      </c>
      <c r="X4503" s="5">
        <f t="shared" si="778"/>
        <v>0.79371540122250583</v>
      </c>
      <c r="Y4503" s="2" t="s">
        <v>2540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85"/>
        <v>2091.8924999999999</v>
      </c>
      <c r="AL4503" s="5">
        <f t="shared" si="786"/>
        <v>0.79371540122250583</v>
      </c>
    </row>
    <row r="4504" spans="1:38" x14ac:dyDescent="0.2">
      <c r="A4504" s="2">
        <v>2026</v>
      </c>
      <c r="B4504" s="2">
        <v>7</v>
      </c>
      <c r="C4504" s="2" t="s">
        <v>3475</v>
      </c>
      <c r="D4504" s="33" t="s">
        <v>3337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83"/>
        <v>80.5</v>
      </c>
      <c r="V4504" s="2">
        <f t="shared" si="789"/>
        <v>430.5</v>
      </c>
      <c r="W4504" s="2">
        <f>T4504*40%</f>
        <v>140</v>
      </c>
      <c r="X4504" s="5">
        <f t="shared" si="778"/>
        <v>0.6</v>
      </c>
      <c r="Y4504" s="2" t="s">
        <v>2540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85"/>
        <v>210</v>
      </c>
      <c r="AL4504" s="5">
        <f t="shared" si="786"/>
        <v>0.6</v>
      </c>
    </row>
    <row r="4505" spans="1:38" x14ac:dyDescent="0.2">
      <c r="A4505" s="2">
        <v>2026</v>
      </c>
      <c r="B4505" s="2">
        <v>7</v>
      </c>
      <c r="C4505" s="2" t="s">
        <v>3475</v>
      </c>
      <c r="D4505" s="33" t="s">
        <v>3337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83"/>
        <v>50.6</v>
      </c>
      <c r="V4505" s="2">
        <f t="shared" si="789"/>
        <v>270.60000000000002</v>
      </c>
      <c r="W4505" s="2">
        <f>T4505*50%</f>
        <v>110</v>
      </c>
      <c r="X4505" s="5">
        <f t="shared" si="778"/>
        <v>0.5</v>
      </c>
      <c r="Y4505" s="2" t="s">
        <v>2540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85"/>
        <v>110</v>
      </c>
      <c r="AL4505" s="5">
        <f t="shared" si="786"/>
        <v>0.5</v>
      </c>
    </row>
    <row r="4506" spans="1:38" x14ac:dyDescent="0.2">
      <c r="A4506" s="2">
        <v>2026</v>
      </c>
      <c r="B4506" s="2">
        <v>7</v>
      </c>
      <c r="C4506" s="2" t="s">
        <v>3475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3385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83"/>
        <v>82.8</v>
      </c>
      <c r="V4506" s="2">
        <f t="shared" ref="V4506:V4512" si="790">T4506+U4506</f>
        <v>442.8</v>
      </c>
      <c r="W4506" s="2">
        <f>129.99*4</f>
        <v>519.96</v>
      </c>
      <c r="X4506" s="18">
        <f t="shared" si="778"/>
        <v>-0.44433333333333341</v>
      </c>
      <c r="Z4506" s="2" t="s">
        <v>3226</v>
      </c>
      <c r="AA4506" s="2" t="s">
        <v>2167</v>
      </c>
      <c r="AB4506" s="2" t="s">
        <v>2168</v>
      </c>
      <c r="AC4506" s="2" t="s">
        <v>3385</v>
      </c>
      <c r="AK4506" s="2">
        <f t="shared" si="785"/>
        <v>-159.96000000000004</v>
      </c>
      <c r="AL4506" s="18">
        <f t="shared" si="786"/>
        <v>-0.44433333333333341</v>
      </c>
    </row>
    <row r="4507" spans="1:38" x14ac:dyDescent="0.2">
      <c r="A4507" s="2">
        <v>2026</v>
      </c>
      <c r="B4507" s="2">
        <v>7</v>
      </c>
      <c r="C4507" s="2" t="s">
        <v>3475</v>
      </c>
      <c r="D4507" s="33" t="s">
        <v>3480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83"/>
        <v>115</v>
      </c>
      <c r="V4507" s="2">
        <f t="shared" si="790"/>
        <v>615</v>
      </c>
      <c r="W4507" s="2">
        <v>417</v>
      </c>
      <c r="X4507" s="5">
        <f t="shared" si="778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85"/>
        <v>83</v>
      </c>
      <c r="AL4507" s="5">
        <f t="shared" si="786"/>
        <v>0.16600000000000001</v>
      </c>
    </row>
    <row r="4508" spans="1:38" x14ac:dyDescent="0.2">
      <c r="A4508" s="2">
        <v>2026</v>
      </c>
      <c r="B4508" s="2">
        <v>7</v>
      </c>
      <c r="C4508" s="2" t="s">
        <v>3475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83"/>
        <v>22.551500000000001</v>
      </c>
      <c r="V4508" s="2">
        <f t="shared" si="790"/>
        <v>120.6015</v>
      </c>
      <c r="W4508" s="2">
        <v>47.295000000000002</v>
      </c>
      <c r="X4508" s="5">
        <f t="shared" si="778"/>
        <v>0.5176440591534931</v>
      </c>
      <c r="Y4508" s="2" t="s">
        <v>3493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85"/>
        <v>50.754999999999995</v>
      </c>
      <c r="AL4508" s="5">
        <f t="shared" si="786"/>
        <v>0.5176440591534931</v>
      </c>
    </row>
    <row r="4509" spans="1:38" x14ac:dyDescent="0.2">
      <c r="A4509" s="2">
        <v>2026</v>
      </c>
      <c r="B4509" s="2">
        <v>7</v>
      </c>
      <c r="C4509" s="2" t="s">
        <v>3475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83"/>
        <v>81.898399999999995</v>
      </c>
      <c r="V4509" s="2">
        <f t="shared" si="790"/>
        <v>437.97839999999997</v>
      </c>
      <c r="W4509" s="2">
        <v>178.33840000000001</v>
      </c>
      <c r="X4509" s="5">
        <f t="shared" si="778"/>
        <v>0.4991619860705459</v>
      </c>
      <c r="Y4509" s="2" t="s">
        <v>3493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85"/>
        <v>177.74159999999998</v>
      </c>
      <c r="AL4509" s="5">
        <f t="shared" si="786"/>
        <v>0.4991619860705459</v>
      </c>
    </row>
    <row r="4510" spans="1:38" x14ac:dyDescent="0.2">
      <c r="A4510" s="2">
        <v>2026</v>
      </c>
      <c r="B4510" s="2">
        <v>7</v>
      </c>
      <c r="C4510" s="2" t="s">
        <v>3475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83"/>
        <v>2.6358000000000001</v>
      </c>
      <c r="V4510" s="2">
        <f t="shared" si="790"/>
        <v>14.095800000000001</v>
      </c>
      <c r="W4510" s="2">
        <v>5.4833999999999996</v>
      </c>
      <c r="X4510" s="5">
        <f t="shared" si="778"/>
        <v>0.52151832460732994</v>
      </c>
      <c r="Y4510" s="2" t="s">
        <v>3493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85"/>
        <v>5.9766000000000012</v>
      </c>
      <c r="AL4510" s="5">
        <f t="shared" si="786"/>
        <v>0.52151832460732994</v>
      </c>
    </row>
    <row r="4511" spans="1:38" x14ac:dyDescent="0.2">
      <c r="A4511" s="2">
        <v>2026</v>
      </c>
      <c r="B4511" s="2">
        <v>7</v>
      </c>
      <c r="C4511" s="2" t="s">
        <v>3475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83"/>
        <v>41.4</v>
      </c>
      <c r="V4511" s="2">
        <f t="shared" si="790"/>
        <v>221.4</v>
      </c>
      <c r="W4511" s="2">
        <f>T4511*40%</f>
        <v>72</v>
      </c>
      <c r="X4511" s="5">
        <f t="shared" si="778"/>
        <v>0.6</v>
      </c>
      <c r="Y4511" s="2" t="s">
        <v>3493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85"/>
        <v>108</v>
      </c>
      <c r="AL4511" s="5">
        <f t="shared" si="786"/>
        <v>0.6</v>
      </c>
    </row>
    <row r="4512" spans="1:38" x14ac:dyDescent="0.2">
      <c r="A4512" s="2">
        <v>2026</v>
      </c>
      <c r="B4512" s="2">
        <v>7</v>
      </c>
      <c r="C4512" s="2" t="s">
        <v>3475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83"/>
        <v>25.3</v>
      </c>
      <c r="V4512" s="2">
        <f t="shared" si="790"/>
        <v>135.30000000000001</v>
      </c>
      <c r="W4512" s="2">
        <f>T4512*50%</f>
        <v>55</v>
      </c>
      <c r="X4512" s="5">
        <f t="shared" si="778"/>
        <v>0.5</v>
      </c>
      <c r="Y4512" s="2" t="s">
        <v>3493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85"/>
        <v>55</v>
      </c>
      <c r="AL4512" s="5">
        <f t="shared" si="786"/>
        <v>0.5</v>
      </c>
    </row>
    <row r="4513" spans="1:38" x14ac:dyDescent="0.2">
      <c r="A4513" s="2">
        <v>2026</v>
      </c>
      <c r="B4513" s="2">
        <v>7</v>
      </c>
      <c r="C4513" s="2" t="s">
        <v>3475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78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3331</v>
      </c>
      <c r="AK4513" s="2">
        <f t="shared" si="785"/>
        <v>109.80200000000002</v>
      </c>
      <c r="AL4513" s="5">
        <f t="shared" si="786"/>
        <v>0.27450500000000005</v>
      </c>
    </row>
    <row r="4514" spans="1:38" x14ac:dyDescent="0.2">
      <c r="A4514" s="2">
        <v>2026</v>
      </c>
      <c r="B4514" s="2">
        <v>7</v>
      </c>
      <c r="C4514" s="2" t="s">
        <v>3475</v>
      </c>
      <c r="D4514" s="15" t="s">
        <v>1553</v>
      </c>
      <c r="E4514" s="2" t="s">
        <v>108</v>
      </c>
      <c r="F4514" s="2" t="s">
        <v>717</v>
      </c>
      <c r="G4514" s="2">
        <v>500975914</v>
      </c>
      <c r="H4514" s="2" t="s">
        <v>41</v>
      </c>
      <c r="I4514" s="2" t="s">
        <v>1554</v>
      </c>
      <c r="J4514" s="2" t="s">
        <v>1555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78"/>
        <v>0.27450500000000005</v>
      </c>
      <c r="Z4514" s="2" t="s">
        <v>3226</v>
      </c>
      <c r="AA4514" s="2" t="s">
        <v>46</v>
      </c>
      <c r="AB4514" s="2" t="s">
        <v>60</v>
      </c>
      <c r="AC4514" s="2" t="s">
        <v>3331</v>
      </c>
      <c r="AK4514" s="2">
        <f t="shared" si="785"/>
        <v>109.80200000000002</v>
      </c>
      <c r="AL4514" s="5">
        <f t="shared" si="786"/>
        <v>0.27450500000000005</v>
      </c>
    </row>
    <row r="4515" spans="1:38" x14ac:dyDescent="0.2">
      <c r="A4515" s="2">
        <v>2026</v>
      </c>
      <c r="B4515" s="2">
        <v>7</v>
      </c>
      <c r="C4515" s="2" t="s">
        <v>3475</v>
      </c>
      <c r="D4515" s="2" t="s">
        <v>3482</v>
      </c>
      <c r="E4515" s="2" t="s">
        <v>108</v>
      </c>
      <c r="F4515" s="2" t="s">
        <v>3444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78"/>
        <v>0.51764891270091395</v>
      </c>
      <c r="Y4515" s="2" t="s">
        <v>3300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85"/>
        <v>32.85</v>
      </c>
      <c r="AL4515" s="5">
        <f t="shared" si="786"/>
        <v>0.51764891270091395</v>
      </c>
    </row>
    <row r="4516" spans="1:38" x14ac:dyDescent="0.2">
      <c r="A4516" s="2">
        <v>2026</v>
      </c>
      <c r="B4516" s="2">
        <v>7</v>
      </c>
      <c r="C4516" s="2" t="s">
        <v>3475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78"/>
        <v>0.20122173913043476</v>
      </c>
      <c r="Z4516" s="2" t="s">
        <v>3226</v>
      </c>
      <c r="AA4516" s="2" t="s">
        <v>46</v>
      </c>
      <c r="AB4516" s="2" t="s">
        <v>60</v>
      </c>
      <c r="AC4516" s="2" t="s">
        <v>57</v>
      </c>
      <c r="AK4516" s="2">
        <f t="shared" si="785"/>
        <v>50.909099999999995</v>
      </c>
      <c r="AL4516" s="5">
        <f t="shared" si="786"/>
        <v>0.20122173913043476</v>
      </c>
    </row>
    <row r="4517" spans="1:38" x14ac:dyDescent="0.2">
      <c r="A4517" s="2">
        <v>2026</v>
      </c>
      <c r="B4517" s="2">
        <v>7</v>
      </c>
      <c r="C4517" s="2" t="s">
        <v>3475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91">T4517*23%</f>
        <v>184.37030000000001</v>
      </c>
      <c r="V4517" s="12">
        <f t="shared" ref="V4517:V4520" si="792">T4517+U4517</f>
        <v>985.98030000000006</v>
      </c>
      <c r="W4517" s="2">
        <v>386</v>
      </c>
      <c r="X4517" s="5">
        <f t="shared" si="778"/>
        <v>0.5184690809745387</v>
      </c>
      <c r="Y4517" s="2" t="s">
        <v>3300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93">T4517-W4517</f>
        <v>415.61</v>
      </c>
      <c r="AL4517" s="5">
        <f t="shared" ref="AL4517:AL4519" si="794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3475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91"/>
        <v>8.9700000000000006</v>
      </c>
      <c r="V4518" s="12">
        <f t="shared" si="792"/>
        <v>47.97</v>
      </c>
      <c r="W4518" s="2">
        <f>0.0914*S4518</f>
        <v>27.419999999999998</v>
      </c>
      <c r="X4518" s="5">
        <f t="shared" si="778"/>
        <v>0.29692307692307696</v>
      </c>
      <c r="Z4518" s="2" t="s">
        <v>3226</v>
      </c>
      <c r="AA4518" s="2" t="s">
        <v>46</v>
      </c>
      <c r="AB4518" s="2" t="s">
        <v>60</v>
      </c>
      <c r="AC4518" s="2" t="s">
        <v>57</v>
      </c>
      <c r="AK4518" s="2">
        <f t="shared" si="793"/>
        <v>11.580000000000002</v>
      </c>
      <c r="AL4518" s="5">
        <f t="shared" si="794"/>
        <v>0.29692307692307696</v>
      </c>
    </row>
    <row r="4519" spans="1:38" x14ac:dyDescent="0.2">
      <c r="A4519" s="2">
        <v>2026</v>
      </c>
      <c r="B4519" s="2">
        <v>7</v>
      </c>
      <c r="C4519" s="2" t="s">
        <v>3475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3483</v>
      </c>
      <c r="R4519" s="2" t="s">
        <v>3484</v>
      </c>
      <c r="S4519" s="13">
        <v>4</v>
      </c>
      <c r="T4519" s="14">
        <v>28.8</v>
      </c>
      <c r="U4519" s="2">
        <f t="shared" si="791"/>
        <v>6.6240000000000006</v>
      </c>
      <c r="V4519" s="12">
        <f t="shared" si="792"/>
        <v>35.423999999999999</v>
      </c>
      <c r="W4519" s="2">
        <f>3.747*S4519</f>
        <v>14.988</v>
      </c>
      <c r="X4519" s="5">
        <f t="shared" si="778"/>
        <v>0.47958333333333336</v>
      </c>
      <c r="Z4519" s="2" t="s">
        <v>3226</v>
      </c>
      <c r="AA4519" s="2" t="s">
        <v>46</v>
      </c>
      <c r="AB4519" s="2" t="s">
        <v>60</v>
      </c>
      <c r="AC4519" s="2" t="s">
        <v>84</v>
      </c>
      <c r="AK4519" s="2">
        <f t="shared" si="793"/>
        <v>13.812000000000001</v>
      </c>
      <c r="AL4519" s="5">
        <f t="shared" si="794"/>
        <v>0.47958333333333336</v>
      </c>
    </row>
    <row r="4520" spans="1:38" x14ac:dyDescent="0.2">
      <c r="A4520" s="2">
        <v>2026</v>
      </c>
      <c r="B4520" s="2">
        <v>7</v>
      </c>
      <c r="C4520" s="2" t="s">
        <v>3475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792"/>
        <v>1660.5</v>
      </c>
      <c r="W4520" s="2">
        <v>773</v>
      </c>
      <c r="X4520" s="5">
        <f t="shared" si="778"/>
        <v>0.4274074074074074</v>
      </c>
      <c r="Y4520" s="2" t="s">
        <v>3493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795">T4520-W4520</f>
        <v>577</v>
      </c>
      <c r="AL4520" s="5">
        <f t="shared" ref="AL4520:AL4529" si="796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3475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797">T4521*23%</f>
        <v>74.98</v>
      </c>
      <c r="V4521" s="2">
        <f t="shared" ref="V4521:V4525" si="798">T4521+U4521</f>
        <v>400.98</v>
      </c>
      <c r="W4521" s="2">
        <f>T4521*40%</f>
        <v>130.4</v>
      </c>
      <c r="X4521" s="5">
        <f t="shared" si="778"/>
        <v>0.6</v>
      </c>
      <c r="Y4521" s="2" t="s">
        <v>3493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795"/>
        <v>195.6</v>
      </c>
      <c r="AL4521" s="5">
        <f t="shared" si="796"/>
        <v>0.6</v>
      </c>
    </row>
    <row r="4522" spans="1:38" x14ac:dyDescent="0.2">
      <c r="A4522" s="2">
        <v>2026</v>
      </c>
      <c r="B4522" s="2">
        <v>7</v>
      </c>
      <c r="C4522" s="2" t="s">
        <v>3475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797"/>
        <v>25.3</v>
      </c>
      <c r="V4522" s="2">
        <f t="shared" si="798"/>
        <v>135.30000000000001</v>
      </c>
      <c r="W4522" s="2">
        <f>T4522*50%</f>
        <v>55</v>
      </c>
      <c r="X4522" s="5">
        <f t="shared" si="778"/>
        <v>0.5</v>
      </c>
      <c r="Y4522" s="2" t="s">
        <v>3493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795"/>
        <v>55</v>
      </c>
      <c r="AL4522" s="5">
        <f t="shared" si="796"/>
        <v>0.5</v>
      </c>
    </row>
    <row r="4523" spans="1:38" x14ac:dyDescent="0.2">
      <c r="A4523" s="2">
        <v>2026</v>
      </c>
      <c r="B4523" s="2">
        <v>7</v>
      </c>
      <c r="C4523" s="2" t="s">
        <v>3475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797"/>
        <v>13.8</v>
      </c>
      <c r="V4523" s="2">
        <f t="shared" si="798"/>
        <v>73.8</v>
      </c>
      <c r="W4523" s="2">
        <f>T4523*40%</f>
        <v>24</v>
      </c>
      <c r="X4523" s="5">
        <f t="shared" si="778"/>
        <v>0.6</v>
      </c>
      <c r="Y4523" s="2" t="s">
        <v>3493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795"/>
        <v>36</v>
      </c>
      <c r="AL4523" s="5">
        <f t="shared" si="796"/>
        <v>0.6</v>
      </c>
    </row>
    <row r="4524" spans="1:38" x14ac:dyDescent="0.2">
      <c r="A4524" s="2">
        <v>2026</v>
      </c>
      <c r="B4524" s="2">
        <v>7</v>
      </c>
      <c r="C4524" s="2" t="s">
        <v>3475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797"/>
        <v>6.3250000000000002</v>
      </c>
      <c r="V4524" s="2">
        <f t="shared" si="798"/>
        <v>33.825000000000003</v>
      </c>
      <c r="W4524" s="2">
        <f>T4524*50%</f>
        <v>13.75</v>
      </c>
      <c r="X4524" s="5">
        <f t="shared" si="778"/>
        <v>0.5</v>
      </c>
      <c r="Y4524" s="2" t="s">
        <v>3493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795"/>
        <v>13.75</v>
      </c>
      <c r="AL4524" s="5">
        <f t="shared" si="796"/>
        <v>0.5</v>
      </c>
    </row>
    <row r="4525" spans="1:38" x14ac:dyDescent="0.2">
      <c r="A4525" s="2">
        <v>2026</v>
      </c>
      <c r="B4525" s="2">
        <v>7</v>
      </c>
      <c r="C4525" s="2" t="s">
        <v>3475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797"/>
        <v>19.271700000000003</v>
      </c>
      <c r="V4525" s="2">
        <f t="shared" si="798"/>
        <v>103.0617</v>
      </c>
      <c r="W4525" s="2">
        <v>40.357500000000002</v>
      </c>
      <c r="X4525" s="5">
        <f t="shared" si="778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795"/>
        <v>43.432500000000005</v>
      </c>
      <c r="AL4525" s="5">
        <f t="shared" si="796"/>
        <v>0.51834944504117442</v>
      </c>
    </row>
    <row r="4526" spans="1:38" x14ac:dyDescent="0.2">
      <c r="A4526" s="2">
        <v>2026</v>
      </c>
      <c r="B4526" s="2">
        <v>7</v>
      </c>
      <c r="C4526" s="2" t="s">
        <v>3475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78"/>
        <v>0.49668246445497621</v>
      </c>
      <c r="Y4526" s="2" t="s">
        <v>3300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795"/>
        <v>15.719999999999997</v>
      </c>
      <c r="AL4526" s="5">
        <f t="shared" si="796"/>
        <v>0.49668246445497621</v>
      </c>
    </row>
    <row r="4527" spans="1:38" x14ac:dyDescent="0.2">
      <c r="A4527" s="2">
        <v>2026</v>
      </c>
      <c r="B4527" s="2">
        <v>7</v>
      </c>
      <c r="C4527" s="2" t="s">
        <v>3475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78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795"/>
        <v>43.432500000000005</v>
      </c>
      <c r="AL4527" s="5">
        <f t="shared" si="796"/>
        <v>0.51834944504117442</v>
      </c>
    </row>
    <row r="4528" spans="1:38" x14ac:dyDescent="0.2">
      <c r="A4528" s="2">
        <v>2026</v>
      </c>
      <c r="B4528" s="2">
        <v>7</v>
      </c>
      <c r="C4528" s="2" t="s">
        <v>3475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799">T4528*23%</f>
        <v>13.8</v>
      </c>
      <c r="V4528" s="12">
        <f t="shared" ref="V4528:V4529" si="800">T4528+U4528</f>
        <v>73.8</v>
      </c>
      <c r="W4528" s="2">
        <f>T4528*40%</f>
        <v>24</v>
      </c>
      <c r="X4528" s="5">
        <f t="shared" si="778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795"/>
        <v>36</v>
      </c>
      <c r="AL4528" s="5">
        <f t="shared" si="796"/>
        <v>0.6</v>
      </c>
    </row>
    <row r="4529" spans="1:38" x14ac:dyDescent="0.2">
      <c r="A4529" s="2">
        <v>2026</v>
      </c>
      <c r="B4529" s="2">
        <v>7</v>
      </c>
      <c r="C4529" s="2" t="s">
        <v>3475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799"/>
        <v>25.3</v>
      </c>
      <c r="V4529" s="12">
        <f t="shared" si="800"/>
        <v>135.30000000000001</v>
      </c>
      <c r="W4529" s="2">
        <f>T4529*50%</f>
        <v>55</v>
      </c>
      <c r="X4529" s="5">
        <f t="shared" si="778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795"/>
        <v>55</v>
      </c>
      <c r="AL4529" s="5">
        <f t="shared" si="796"/>
        <v>0.5</v>
      </c>
    </row>
    <row r="4530" spans="1:38" x14ac:dyDescent="0.2">
      <c r="A4530" s="2">
        <v>2026</v>
      </c>
      <c r="B4530" s="2">
        <v>7</v>
      </c>
      <c r="C4530" s="2" t="s">
        <v>3475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78"/>
        <v>0.48696666666666666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ref="AK4530:AK4541" si="801">T4530-W4530</f>
        <v>8.7653999999999996</v>
      </c>
      <c r="AL4530" s="5">
        <f t="shared" ref="AL4530:AL4576" si="802">(T4530-W4530)/T4530</f>
        <v>0.48696666666666666</v>
      </c>
    </row>
    <row r="4531" spans="1:38" x14ac:dyDescent="0.2">
      <c r="A4531" s="2">
        <v>2026</v>
      </c>
      <c r="B4531" s="2">
        <v>7</v>
      </c>
      <c r="C4531" s="2" t="s">
        <v>3475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803">T4531*23%</f>
        <v>5.2440000000000007</v>
      </c>
      <c r="V4531" s="12">
        <f t="shared" ref="V4531:V4542" si="804">T4531+U4531</f>
        <v>28.044</v>
      </c>
      <c r="W4531" s="2">
        <f>12.2604*S4531</f>
        <v>12.260400000000001</v>
      </c>
      <c r="X4531" s="5">
        <f t="shared" si="778"/>
        <v>0.46226315789473682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01"/>
        <v>10.5396</v>
      </c>
      <c r="AL4531" s="5">
        <f t="shared" si="802"/>
        <v>0.46226315789473682</v>
      </c>
    </row>
    <row r="4532" spans="1:38" x14ac:dyDescent="0.2">
      <c r="A4532" s="2">
        <v>2026</v>
      </c>
      <c r="B4532" s="2">
        <v>7</v>
      </c>
      <c r="C4532" s="2" t="s">
        <v>3475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803"/>
        <v>5.5200000000000005</v>
      </c>
      <c r="V4532" s="12">
        <f t="shared" si="804"/>
        <v>29.52</v>
      </c>
      <c r="W4532" s="2">
        <f>12.71*S4532</f>
        <v>12.71</v>
      </c>
      <c r="X4532" s="5">
        <f t="shared" si="778"/>
        <v>0.47041666666666665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01"/>
        <v>11.29</v>
      </c>
      <c r="AL4532" s="5">
        <f t="shared" si="802"/>
        <v>0.47041666666666665</v>
      </c>
    </row>
    <row r="4533" spans="1:38" x14ac:dyDescent="0.2">
      <c r="A4533" s="2">
        <v>2026</v>
      </c>
      <c r="B4533" s="2">
        <v>7</v>
      </c>
      <c r="C4533" s="2" t="s">
        <v>3475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803"/>
        <v>16.560000000000002</v>
      </c>
      <c r="V4533" s="12">
        <f t="shared" si="804"/>
        <v>88.56</v>
      </c>
      <c r="W4533" s="2">
        <f>10.6*S4533</f>
        <v>42.4</v>
      </c>
      <c r="X4533" s="5">
        <f t="shared" si="778"/>
        <v>0.41111111111111115</v>
      </c>
      <c r="Z4533" s="2" t="s">
        <v>3226</v>
      </c>
      <c r="AA4533" s="2" t="s">
        <v>46</v>
      </c>
      <c r="AB4533" s="2" t="s">
        <v>56</v>
      </c>
      <c r="AC4533" s="2" t="s">
        <v>57</v>
      </c>
      <c r="AK4533" s="2">
        <f t="shared" si="801"/>
        <v>29.6</v>
      </c>
      <c r="AL4533" s="5">
        <f t="shared" si="802"/>
        <v>0.41111111111111115</v>
      </c>
    </row>
    <row r="4534" spans="1:38" x14ac:dyDescent="0.2">
      <c r="A4534" s="2">
        <v>2026</v>
      </c>
      <c r="B4534" s="2">
        <v>7</v>
      </c>
      <c r="C4534" s="2" t="s">
        <v>3475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803"/>
        <v>3.68</v>
      </c>
      <c r="V4534" s="12">
        <f t="shared" si="804"/>
        <v>19.68</v>
      </c>
      <c r="W4534" s="2">
        <f>0.0914*S4534</f>
        <v>9.1399999999999988</v>
      </c>
      <c r="X4534" s="5">
        <f t="shared" si="778"/>
        <v>0.42875000000000008</v>
      </c>
      <c r="Z4534" s="2" t="s">
        <v>3226</v>
      </c>
      <c r="AA4534" s="2" t="s">
        <v>46</v>
      </c>
      <c r="AB4534" s="2" t="s">
        <v>60</v>
      </c>
      <c r="AC4534" s="2" t="s">
        <v>57</v>
      </c>
      <c r="AK4534" s="2">
        <f t="shared" si="801"/>
        <v>6.8600000000000012</v>
      </c>
      <c r="AL4534" s="5">
        <f t="shared" si="802"/>
        <v>0.42875000000000008</v>
      </c>
    </row>
    <row r="4535" spans="1:38" x14ac:dyDescent="0.2">
      <c r="A4535" s="2">
        <v>2026</v>
      </c>
      <c r="B4535" s="2">
        <v>7</v>
      </c>
      <c r="C4535" s="2" t="s">
        <v>3475</v>
      </c>
      <c r="D4535" s="2" t="s">
        <v>3494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803"/>
        <v>62.56</v>
      </c>
      <c r="V4535" s="12">
        <f t="shared" si="804"/>
        <v>334.56</v>
      </c>
      <c r="W4535" s="2">
        <v>153.34</v>
      </c>
      <c r="X4535" s="5">
        <f t="shared" si="778"/>
        <v>0.43624999999999997</v>
      </c>
      <c r="Z4535" s="2" t="s">
        <v>3226</v>
      </c>
      <c r="AA4535" s="2" t="s">
        <v>75</v>
      </c>
      <c r="AB4535" s="2" t="s">
        <v>76</v>
      </c>
      <c r="AC4535" s="2" t="s">
        <v>1038</v>
      </c>
      <c r="AK4535" s="2">
        <f t="shared" si="801"/>
        <v>118.66</v>
      </c>
      <c r="AL4535" s="5">
        <f t="shared" si="802"/>
        <v>0.43624999999999997</v>
      </c>
    </row>
    <row r="4536" spans="1:38" x14ac:dyDescent="0.2">
      <c r="A4536" s="2">
        <v>2026</v>
      </c>
      <c r="B4536" s="2">
        <v>7</v>
      </c>
      <c r="C4536" s="2" t="s">
        <v>3475</v>
      </c>
      <c r="D4536" s="2" t="s">
        <v>3494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803"/>
        <v>0.34040000000000004</v>
      </c>
      <c r="V4536" s="12">
        <f t="shared" si="804"/>
        <v>1.8204</v>
      </c>
      <c r="W4536" s="2">
        <v>1.48</v>
      </c>
      <c r="X4536" s="5">
        <f t="shared" si="778"/>
        <v>0</v>
      </c>
      <c r="Z4536" s="2" t="s">
        <v>3226</v>
      </c>
      <c r="AA4536" s="2" t="s">
        <v>96</v>
      </c>
      <c r="AB4536" s="2" t="s">
        <v>76</v>
      </c>
      <c r="AC4536" s="2" t="s">
        <v>93</v>
      </c>
      <c r="AK4536" s="2">
        <f t="shared" si="801"/>
        <v>0</v>
      </c>
      <c r="AL4536" s="5">
        <f t="shared" si="802"/>
        <v>0</v>
      </c>
    </row>
    <row r="4537" spans="1:38" x14ac:dyDescent="0.2">
      <c r="A4537" s="2">
        <v>2026</v>
      </c>
      <c r="B4537" s="2">
        <v>7</v>
      </c>
      <c r="C4537" s="2" t="s">
        <v>3475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3495</v>
      </c>
      <c r="R4537" s="2" t="s">
        <v>3496</v>
      </c>
      <c r="S4537" s="13">
        <v>1</v>
      </c>
      <c r="T4537" s="14">
        <v>378.3</v>
      </c>
      <c r="U4537" s="2">
        <f t="shared" si="803"/>
        <v>87.009</v>
      </c>
      <c r="V4537" s="12">
        <f t="shared" si="804"/>
        <v>465.30900000000003</v>
      </c>
      <c r="W4537" s="2">
        <v>220.9</v>
      </c>
      <c r="X4537" s="5">
        <f t="shared" si="778"/>
        <v>0.4160719006079831</v>
      </c>
      <c r="Z4537" s="2" t="s">
        <v>3226</v>
      </c>
      <c r="AA4537" s="2" t="s">
        <v>75</v>
      </c>
      <c r="AB4537" s="2" t="s">
        <v>76</v>
      </c>
      <c r="AC4537" s="2" t="s">
        <v>1038</v>
      </c>
      <c r="AK4537" s="2">
        <f t="shared" si="801"/>
        <v>157.4</v>
      </c>
      <c r="AL4537" s="5">
        <f t="shared" si="802"/>
        <v>0.4160719006079831</v>
      </c>
    </row>
    <row r="4538" spans="1:38" x14ac:dyDescent="0.2">
      <c r="A4538" s="2">
        <v>2026</v>
      </c>
      <c r="B4538" s="2">
        <v>7</v>
      </c>
      <c r="C4538" s="2" t="s">
        <v>3475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803"/>
        <v>4.0250000000000004</v>
      </c>
      <c r="V4538" s="12">
        <f t="shared" si="804"/>
        <v>21.524999999999999</v>
      </c>
      <c r="W4538" s="2">
        <v>23</v>
      </c>
      <c r="X4538" s="18">
        <f t="shared" si="778"/>
        <v>-0.31428571428571428</v>
      </c>
      <c r="Z4538" s="2" t="s">
        <v>169</v>
      </c>
      <c r="AA4538" s="2" t="s">
        <v>169</v>
      </c>
      <c r="AK4538" s="2">
        <f t="shared" si="801"/>
        <v>-5.5</v>
      </c>
      <c r="AL4538" s="18">
        <f t="shared" si="802"/>
        <v>-0.31428571428571428</v>
      </c>
    </row>
    <row r="4539" spans="1:38" x14ac:dyDescent="0.2">
      <c r="A4539" s="2">
        <v>2026</v>
      </c>
      <c r="B4539" s="2">
        <v>7</v>
      </c>
      <c r="C4539" s="2" t="s">
        <v>3475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803"/>
        <v>0.34040000000000004</v>
      </c>
      <c r="V4539" s="12">
        <f t="shared" si="804"/>
        <v>1.8204</v>
      </c>
      <c r="W4539" s="2">
        <v>1.48</v>
      </c>
      <c r="X4539" s="5">
        <f t="shared" si="778"/>
        <v>0</v>
      </c>
      <c r="Z4539" s="2" t="s">
        <v>3226</v>
      </c>
      <c r="AA4539" s="2" t="s">
        <v>96</v>
      </c>
      <c r="AB4539" s="2" t="s">
        <v>76</v>
      </c>
      <c r="AC4539" s="2" t="s">
        <v>93</v>
      </c>
      <c r="AK4539" s="2">
        <f t="shared" si="801"/>
        <v>0</v>
      </c>
      <c r="AL4539" s="18">
        <f t="shared" si="802"/>
        <v>0</v>
      </c>
    </row>
    <row r="4540" spans="1:38" x14ac:dyDescent="0.2">
      <c r="A4540" s="2">
        <v>2026</v>
      </c>
      <c r="B4540" s="2">
        <v>7</v>
      </c>
      <c r="C4540" s="2" t="s">
        <v>3475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803"/>
        <v>52.900000000000006</v>
      </c>
      <c r="V4540" s="12">
        <f t="shared" si="804"/>
        <v>282.89999999999998</v>
      </c>
      <c r="W4540" s="2">
        <v>133.4614</v>
      </c>
      <c r="X4540" s="5">
        <f t="shared" si="778"/>
        <v>0.4197330434782609</v>
      </c>
      <c r="Z4540" s="2" t="s">
        <v>3226</v>
      </c>
      <c r="AA4540" s="2" t="s">
        <v>75</v>
      </c>
      <c r="AB4540" s="2" t="s">
        <v>76</v>
      </c>
      <c r="AC4540" s="2" t="s">
        <v>77</v>
      </c>
      <c r="AK4540" s="2">
        <f t="shared" si="801"/>
        <v>96.538600000000002</v>
      </c>
      <c r="AL4540" s="18">
        <f t="shared" si="802"/>
        <v>0.4197330434782609</v>
      </c>
    </row>
    <row r="4541" spans="1:38" x14ac:dyDescent="0.2">
      <c r="A4541" s="2">
        <v>2026</v>
      </c>
      <c r="B4541" s="2">
        <v>7</v>
      </c>
      <c r="C4541" s="2" t="s">
        <v>3475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803"/>
        <v>0.34040000000000004</v>
      </c>
      <c r="V4541" s="12">
        <f t="shared" si="804"/>
        <v>1.8204</v>
      </c>
      <c r="W4541" s="2">
        <v>1.48</v>
      </c>
      <c r="X4541" s="5">
        <f t="shared" si="778"/>
        <v>0</v>
      </c>
      <c r="Z4541" s="2" t="s">
        <v>3226</v>
      </c>
      <c r="AA4541" s="2" t="s">
        <v>96</v>
      </c>
      <c r="AB4541" s="2" t="s">
        <v>76</v>
      </c>
      <c r="AC4541" s="2" t="s">
        <v>93</v>
      </c>
      <c r="AK4541" s="2">
        <f t="shared" si="801"/>
        <v>0</v>
      </c>
      <c r="AL4541" s="18">
        <f t="shared" si="802"/>
        <v>0</v>
      </c>
    </row>
    <row r="4542" spans="1:38" x14ac:dyDescent="0.2">
      <c r="A4542" s="2">
        <v>2026</v>
      </c>
      <c r="B4542" s="2">
        <v>7</v>
      </c>
      <c r="C4542" s="2" t="s">
        <v>3475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72</v>
      </c>
      <c r="Q4542" s="2" t="s">
        <v>1449</v>
      </c>
      <c r="R4542" s="2" t="s">
        <v>307</v>
      </c>
      <c r="S4542" s="13">
        <v>1</v>
      </c>
      <c r="T4542" s="14">
        <v>230</v>
      </c>
      <c r="U4542" s="2">
        <f>T4542*23%</f>
        <v>52.900000000000006</v>
      </c>
      <c r="V4542" s="2">
        <f t="shared" si="804"/>
        <v>282.89999999999998</v>
      </c>
      <c r="W4542" s="2">
        <f>110.628+11.82</f>
        <v>122.44800000000001</v>
      </c>
      <c r="X4542" s="5">
        <f t="shared" si="778"/>
        <v>0.46761739130434782</v>
      </c>
      <c r="Z4542" s="2" t="s">
        <v>3226</v>
      </c>
      <c r="AA4542" s="2" t="s">
        <v>75</v>
      </c>
      <c r="AB4542" s="2" t="s">
        <v>76</v>
      </c>
      <c r="AC4542" s="2" t="s">
        <v>77</v>
      </c>
      <c r="AK4542" s="2">
        <f t="shared" ref="AK4542:AK4544" si="805">T4542-W4542</f>
        <v>107.55199999999999</v>
      </c>
      <c r="AL4542" s="18">
        <f t="shared" si="802"/>
        <v>0.46761739130434782</v>
      </c>
    </row>
    <row r="4543" spans="1:38" x14ac:dyDescent="0.2">
      <c r="A4543" s="2">
        <v>2026</v>
      </c>
      <c r="B4543" s="2">
        <v>7</v>
      </c>
      <c r="C4543" s="2" t="s">
        <v>3475</v>
      </c>
      <c r="D4543" s="2" t="s">
        <v>1017</v>
      </c>
      <c r="E4543" s="2" t="s">
        <v>108</v>
      </c>
      <c r="F4543" s="2" t="s">
        <v>477</v>
      </c>
      <c r="G4543" s="2">
        <v>505647338</v>
      </c>
      <c r="H4543" s="2" t="s">
        <v>290</v>
      </c>
      <c r="I4543" s="2" t="s">
        <v>1018</v>
      </c>
      <c r="J4543" s="2" t="s">
        <v>1019</v>
      </c>
      <c r="L4543" s="2" t="s">
        <v>293</v>
      </c>
      <c r="M4543" s="2" t="s">
        <v>80</v>
      </c>
      <c r="P4543" s="2" t="s">
        <v>93</v>
      </c>
      <c r="Q4543" s="2" t="s">
        <v>94</v>
      </c>
      <c r="R4543" s="2" t="s">
        <v>95</v>
      </c>
      <c r="S4543" s="13">
        <v>1</v>
      </c>
      <c r="T4543" s="14">
        <v>1.48</v>
      </c>
      <c r="U4543" s="2">
        <f>T4543*23%</f>
        <v>0.34040000000000004</v>
      </c>
      <c r="V4543" s="2">
        <f t="shared" ref="V4543:V4544" si="806">T4543+U4543</f>
        <v>1.8204</v>
      </c>
      <c r="W4543" s="2">
        <v>1.48</v>
      </c>
      <c r="X4543" s="5">
        <f t="shared" si="778"/>
        <v>0</v>
      </c>
      <c r="Z4543" s="2" t="s">
        <v>3226</v>
      </c>
      <c r="AA4543" s="2" t="s">
        <v>96</v>
      </c>
      <c r="AB4543" s="2" t="s">
        <v>76</v>
      </c>
      <c r="AC4543" s="2" t="s">
        <v>93</v>
      </c>
      <c r="AK4543" s="2">
        <f t="shared" si="805"/>
        <v>0</v>
      </c>
      <c r="AL4543" s="18">
        <f t="shared" si="802"/>
        <v>0</v>
      </c>
    </row>
    <row r="4544" spans="1:38" x14ac:dyDescent="0.2">
      <c r="A4544" s="2">
        <v>2026</v>
      </c>
      <c r="B4544" s="2">
        <v>7</v>
      </c>
      <c r="C4544" s="2" t="s">
        <v>3475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1383</v>
      </c>
      <c r="R4544" s="2" t="s">
        <v>1384</v>
      </c>
      <c r="S4544" s="13">
        <v>1</v>
      </c>
      <c r="T4544" s="14">
        <v>152.41</v>
      </c>
      <c r="U4544" s="2">
        <f>T4544*23%</f>
        <v>35.054299999999998</v>
      </c>
      <c r="V4544" s="2">
        <f t="shared" si="806"/>
        <v>187.46429999999998</v>
      </c>
      <c r="W4544" s="2">
        <f>71.381</f>
        <v>71.381</v>
      </c>
      <c r="X4544" s="5">
        <f t="shared" si="778"/>
        <v>0.53165146643921002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si="805"/>
        <v>81.028999999999996</v>
      </c>
      <c r="AL4544" s="18">
        <f t="shared" si="802"/>
        <v>0.53165146643921002</v>
      </c>
    </row>
    <row r="4545" spans="1:38" x14ac:dyDescent="0.2">
      <c r="A4545" s="2">
        <v>2026</v>
      </c>
      <c r="B4545" s="2">
        <v>7</v>
      </c>
      <c r="C4545" s="2" t="s">
        <v>3475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2480</v>
      </c>
      <c r="R4545" s="2" t="s">
        <v>1387</v>
      </c>
      <c r="S4545" s="13">
        <v>1</v>
      </c>
      <c r="T4545" s="14">
        <v>466.58</v>
      </c>
      <c r="U4545" s="2">
        <f t="shared" ref="U4545:U4571" si="807">T4545*23%</f>
        <v>107.3134</v>
      </c>
      <c r="V4545" s="2">
        <f t="shared" ref="V4545:V4572" si="808">T4545+U4545</f>
        <v>573.89339999999993</v>
      </c>
      <c r="W4545" s="2">
        <v>222.18</v>
      </c>
      <c r="X4545" s="5">
        <f t="shared" si="778"/>
        <v>0.52381156500492942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" si="809">T4545-W4545</f>
        <v>244.39999999999998</v>
      </c>
      <c r="AL4545" s="18">
        <f t="shared" si="802"/>
        <v>0.52381156500492942</v>
      </c>
    </row>
    <row r="4546" spans="1:38" x14ac:dyDescent="0.2">
      <c r="A4546" s="2">
        <v>2026</v>
      </c>
      <c r="B4546" s="2">
        <v>7</v>
      </c>
      <c r="C4546" s="2" t="s">
        <v>3475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114</v>
      </c>
      <c r="Q4546" s="2" t="s">
        <v>1405</v>
      </c>
      <c r="R4546" s="2" t="s">
        <v>1406</v>
      </c>
      <c r="S4546" s="13">
        <v>1</v>
      </c>
      <c r="T4546" s="14">
        <v>77.48</v>
      </c>
      <c r="U4546" s="2">
        <f t="shared" si="807"/>
        <v>17.820400000000003</v>
      </c>
      <c r="V4546" s="2">
        <f t="shared" si="808"/>
        <v>95.30040000000001</v>
      </c>
      <c r="W4546" s="2">
        <f>30.7997</f>
        <v>30.799700000000001</v>
      </c>
      <c r="X4546" s="5">
        <f t="shared" si="778"/>
        <v>0.60248193082085699</v>
      </c>
      <c r="Y4546" s="2" t="s">
        <v>2540</v>
      </c>
      <c r="Z4546" s="2" t="s">
        <v>117</v>
      </c>
      <c r="AA4546" s="2" t="s">
        <v>118</v>
      </c>
      <c r="AB4546" s="2" t="s">
        <v>119</v>
      </c>
      <c r="AC4546" s="2" t="s">
        <v>114</v>
      </c>
      <c r="AK4546" s="2">
        <f t="shared" ref="AK4546:AK4569" si="810">T4546-W4546</f>
        <v>46.680300000000003</v>
      </c>
      <c r="AL4546" s="18">
        <f t="shared" si="802"/>
        <v>0.60248193082085699</v>
      </c>
    </row>
    <row r="4547" spans="1:38" x14ac:dyDescent="0.2">
      <c r="A4547" s="2">
        <v>2026</v>
      </c>
      <c r="B4547" s="2">
        <v>7</v>
      </c>
      <c r="C4547" s="2" t="s">
        <v>3475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188</v>
      </c>
      <c r="R4547" s="2" t="s">
        <v>189</v>
      </c>
      <c r="S4547" s="13">
        <v>1</v>
      </c>
      <c r="T4547" s="14">
        <v>144</v>
      </c>
      <c r="U4547" s="2">
        <f t="shared" si="807"/>
        <v>33.120000000000005</v>
      </c>
      <c r="V4547" s="2">
        <f t="shared" si="808"/>
        <v>177.12</v>
      </c>
      <c r="W4547" s="2">
        <f>T4547*40%</f>
        <v>57.6</v>
      </c>
      <c r="X4547" s="5">
        <f t="shared" si="778"/>
        <v>0.60000000000000009</v>
      </c>
      <c r="Y4547" s="2" t="s">
        <v>2540</v>
      </c>
      <c r="Z4547" s="2" t="s">
        <v>117</v>
      </c>
      <c r="AA4547" s="2" t="s">
        <v>190</v>
      </c>
      <c r="AB4547" s="2" t="s">
        <v>189</v>
      </c>
      <c r="AC4547" s="2" t="s">
        <v>40</v>
      </c>
      <c r="AK4547" s="2">
        <f t="shared" si="810"/>
        <v>86.4</v>
      </c>
      <c r="AL4547" s="18">
        <f t="shared" si="802"/>
        <v>0.60000000000000009</v>
      </c>
    </row>
    <row r="4548" spans="1:38" x14ac:dyDescent="0.2">
      <c r="A4548" s="2">
        <v>2026</v>
      </c>
      <c r="B4548" s="2">
        <v>7</v>
      </c>
      <c r="C4548" s="2" t="s">
        <v>3475</v>
      </c>
      <c r="D4548" s="2" t="s">
        <v>1765</v>
      </c>
      <c r="E4548" s="2" t="s">
        <v>108</v>
      </c>
      <c r="F4548" s="2" t="s">
        <v>477</v>
      </c>
      <c r="L4548" s="2" t="s">
        <v>201</v>
      </c>
      <c r="M4548" s="2" t="s">
        <v>40</v>
      </c>
      <c r="P4548" s="2" t="s">
        <v>187</v>
      </c>
      <c r="Q4548" s="2" t="s">
        <v>191</v>
      </c>
      <c r="R4548" s="2" t="s">
        <v>190</v>
      </c>
      <c r="S4548" s="13">
        <v>4</v>
      </c>
      <c r="T4548" s="14">
        <v>165</v>
      </c>
      <c r="U4548" s="2">
        <f t="shared" si="807"/>
        <v>37.950000000000003</v>
      </c>
      <c r="V4548" s="2">
        <f t="shared" si="808"/>
        <v>202.95</v>
      </c>
      <c r="W4548" s="2">
        <f>T4548*50%</f>
        <v>82.5</v>
      </c>
      <c r="X4548" s="5">
        <f t="shared" ref="X4548:X4591" si="811">(T4548-W4548)/T4548</f>
        <v>0.5</v>
      </c>
      <c r="Y4548" s="2" t="s">
        <v>2540</v>
      </c>
      <c r="Z4548" s="2" t="s">
        <v>117</v>
      </c>
      <c r="AA4548" s="2" t="s">
        <v>190</v>
      </c>
      <c r="AB4548" s="2" t="s">
        <v>190</v>
      </c>
      <c r="AC4548" s="2" t="s">
        <v>40</v>
      </c>
      <c r="AK4548" s="2">
        <f t="shared" si="810"/>
        <v>82.5</v>
      </c>
      <c r="AL4548" s="18">
        <f t="shared" si="802"/>
        <v>0.5</v>
      </c>
    </row>
    <row r="4549" spans="1:38" x14ac:dyDescent="0.2">
      <c r="A4549" s="2">
        <v>2026</v>
      </c>
      <c r="B4549" s="2">
        <v>7</v>
      </c>
      <c r="C4549" s="2" t="s">
        <v>3475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114</v>
      </c>
      <c r="Q4549" s="2" t="s">
        <v>735</v>
      </c>
      <c r="R4549" s="2" t="s">
        <v>736</v>
      </c>
      <c r="S4549" s="13">
        <v>1</v>
      </c>
      <c r="T4549" s="14">
        <v>22.05</v>
      </c>
      <c r="U4549" s="2">
        <f t="shared" si="807"/>
        <v>5.0715000000000003</v>
      </c>
      <c r="V4549" s="2">
        <f t="shared" si="808"/>
        <v>27.121500000000001</v>
      </c>
      <c r="W4549" s="2">
        <f>10.38*S4549</f>
        <v>10.38</v>
      </c>
      <c r="X4549" s="5">
        <f t="shared" si="811"/>
        <v>0.52925170068027205</v>
      </c>
      <c r="Y4549" s="2" t="s">
        <v>3300</v>
      </c>
      <c r="Z4549" s="2" t="s">
        <v>117</v>
      </c>
      <c r="AA4549" s="2" t="s">
        <v>118</v>
      </c>
      <c r="AB4549" s="2" t="s">
        <v>119</v>
      </c>
      <c r="AC4549" s="2" t="s">
        <v>114</v>
      </c>
      <c r="AK4549" s="2">
        <f t="shared" si="810"/>
        <v>11.67</v>
      </c>
      <c r="AL4549" s="18">
        <f t="shared" si="802"/>
        <v>0.52925170068027205</v>
      </c>
    </row>
    <row r="4550" spans="1:38" x14ac:dyDescent="0.2">
      <c r="A4550" s="2">
        <v>2026</v>
      </c>
      <c r="B4550" s="2">
        <v>7</v>
      </c>
      <c r="C4550" s="2" t="s">
        <v>3475</v>
      </c>
      <c r="D4550" s="2" t="s">
        <v>744</v>
      </c>
      <c r="E4550" s="2" t="s">
        <v>108</v>
      </c>
      <c r="F4550" s="2" t="s">
        <v>39</v>
      </c>
      <c r="G4550" s="2">
        <v>509181163</v>
      </c>
      <c r="H4550" s="2" t="s">
        <v>40</v>
      </c>
      <c r="I4550" s="2" t="s">
        <v>745</v>
      </c>
      <c r="J4550" s="2" t="s">
        <v>746</v>
      </c>
      <c r="K4550" s="2">
        <v>962372760</v>
      </c>
      <c r="L4550" s="2" t="s">
        <v>201</v>
      </c>
      <c r="M4550" s="2" t="s">
        <v>40</v>
      </c>
      <c r="P4550" s="2" t="s">
        <v>40</v>
      </c>
      <c r="Q4550" s="2" t="s">
        <v>363</v>
      </c>
      <c r="R4550" s="2" t="s">
        <v>364</v>
      </c>
      <c r="S4550" s="13">
        <v>1</v>
      </c>
      <c r="T4550" s="14">
        <v>81.27</v>
      </c>
      <c r="U4550" s="2">
        <f t="shared" si="807"/>
        <v>18.6921</v>
      </c>
      <c r="V4550" s="2">
        <f t="shared" si="808"/>
        <v>99.962099999999992</v>
      </c>
      <c r="X4550" s="5">
        <f t="shared" si="811"/>
        <v>1</v>
      </c>
      <c r="Y4550" s="2" t="s">
        <v>3300</v>
      </c>
      <c r="Z4550" s="2" t="s">
        <v>119</v>
      </c>
      <c r="AA4550" s="2" t="s">
        <v>3379</v>
      </c>
      <c r="AK4550" s="2">
        <f t="shared" si="810"/>
        <v>81.27</v>
      </c>
      <c r="AL4550" s="18">
        <f t="shared" si="802"/>
        <v>1</v>
      </c>
    </row>
    <row r="4551" spans="1:38" x14ac:dyDescent="0.2">
      <c r="A4551" s="2">
        <v>2026</v>
      </c>
      <c r="B4551" s="2">
        <v>7</v>
      </c>
      <c r="C4551" s="2" t="s">
        <v>3475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793</v>
      </c>
      <c r="R4551" s="2" t="s">
        <v>794</v>
      </c>
      <c r="S4551" s="13">
        <v>1</v>
      </c>
      <c r="T4551" s="14">
        <v>770.24</v>
      </c>
      <c r="U4551" s="2">
        <f t="shared" si="807"/>
        <v>177.15520000000001</v>
      </c>
      <c r="V4551" s="2">
        <f t="shared" si="808"/>
        <v>947.39520000000005</v>
      </c>
      <c r="W4551" s="2">
        <v>257.3</v>
      </c>
      <c r="X4551" s="5">
        <f t="shared" si="811"/>
        <v>0.66594827586206906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10"/>
        <v>512.94000000000005</v>
      </c>
      <c r="AL4551" s="18">
        <f t="shared" si="802"/>
        <v>0.66594827586206906</v>
      </c>
    </row>
    <row r="4552" spans="1:38" x14ac:dyDescent="0.2">
      <c r="A4552" s="2">
        <v>2026</v>
      </c>
      <c r="B4552" s="2">
        <v>7</v>
      </c>
      <c r="C4552" s="2" t="s">
        <v>3475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114</v>
      </c>
      <c r="Q4552" s="2" t="s">
        <v>795</v>
      </c>
      <c r="R4552" s="2" t="s">
        <v>2984</v>
      </c>
      <c r="S4552" s="13">
        <v>1</v>
      </c>
      <c r="T4552" s="14">
        <v>40.54</v>
      </c>
      <c r="U4552" s="2">
        <f t="shared" si="807"/>
        <v>9.3241999999999994</v>
      </c>
      <c r="V4552" s="2">
        <f t="shared" si="808"/>
        <v>49.864199999999997</v>
      </c>
      <c r="W4552" s="2">
        <f>13.715*S4552</f>
        <v>13.715</v>
      </c>
      <c r="X4552" s="5">
        <f t="shared" si="811"/>
        <v>0.66169215589541197</v>
      </c>
      <c r="Z4552" s="2" t="s">
        <v>117</v>
      </c>
      <c r="AA4552" s="2" t="s">
        <v>118</v>
      </c>
      <c r="AB4552" s="2" t="s">
        <v>119</v>
      </c>
      <c r="AC4552" s="2" t="s">
        <v>114</v>
      </c>
      <c r="AK4552" s="2">
        <f t="shared" si="810"/>
        <v>26.824999999999999</v>
      </c>
      <c r="AL4552" s="18">
        <f t="shared" si="802"/>
        <v>0.66169215589541197</v>
      </c>
    </row>
    <row r="4553" spans="1:38" x14ac:dyDescent="0.2">
      <c r="A4553" s="2">
        <v>2026</v>
      </c>
      <c r="B4553" s="2">
        <v>7</v>
      </c>
      <c r="C4553" s="2" t="s">
        <v>3475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188</v>
      </c>
      <c r="R4553" s="2" t="s">
        <v>189</v>
      </c>
      <c r="S4553" s="13">
        <v>2</v>
      </c>
      <c r="T4553" s="14">
        <v>396</v>
      </c>
      <c r="U4553" s="2">
        <f t="shared" si="807"/>
        <v>91.08</v>
      </c>
      <c r="V4553" s="2">
        <f t="shared" si="808"/>
        <v>487.08</v>
      </c>
      <c r="W4553" s="2">
        <f>T4553*40%</f>
        <v>158.4</v>
      </c>
      <c r="X4553" s="5">
        <f t="shared" si="811"/>
        <v>0.6</v>
      </c>
      <c r="Z4553" s="2" t="s">
        <v>117</v>
      </c>
      <c r="AA4553" s="2" t="s">
        <v>190</v>
      </c>
      <c r="AB4553" s="2" t="s">
        <v>189</v>
      </c>
      <c r="AC4553" s="2" t="s">
        <v>40</v>
      </c>
      <c r="AK4553" s="2">
        <f t="shared" si="810"/>
        <v>237.6</v>
      </c>
      <c r="AL4553" s="18">
        <f t="shared" si="802"/>
        <v>0.6</v>
      </c>
    </row>
    <row r="4554" spans="1:38" x14ac:dyDescent="0.2">
      <c r="A4554" s="2">
        <v>2026</v>
      </c>
      <c r="B4554" s="2">
        <v>7</v>
      </c>
      <c r="C4554" s="2" t="s">
        <v>3475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187</v>
      </c>
      <c r="Q4554" s="2" t="s">
        <v>191</v>
      </c>
      <c r="R4554" s="2" t="s">
        <v>190</v>
      </c>
      <c r="S4554" s="13">
        <v>4</v>
      </c>
      <c r="T4554" s="14">
        <v>220</v>
      </c>
      <c r="U4554" s="2">
        <f t="shared" si="807"/>
        <v>50.6</v>
      </c>
      <c r="V4554" s="2">
        <f t="shared" si="808"/>
        <v>270.60000000000002</v>
      </c>
      <c r="W4554" s="2">
        <f>T4554*50%</f>
        <v>110</v>
      </c>
      <c r="X4554" s="5">
        <f t="shared" si="811"/>
        <v>0.5</v>
      </c>
      <c r="Z4554" s="2" t="s">
        <v>117</v>
      </c>
      <c r="AA4554" s="2" t="s">
        <v>190</v>
      </c>
      <c r="AB4554" s="2" t="s">
        <v>190</v>
      </c>
      <c r="AC4554" s="2" t="s">
        <v>40</v>
      </c>
      <c r="AK4554" s="2">
        <f t="shared" si="810"/>
        <v>110</v>
      </c>
      <c r="AL4554" s="18">
        <f t="shared" si="802"/>
        <v>0.5</v>
      </c>
    </row>
    <row r="4555" spans="1:38" x14ac:dyDescent="0.2">
      <c r="A4555" s="2">
        <v>2026</v>
      </c>
      <c r="B4555" s="2">
        <v>7</v>
      </c>
      <c r="C4555" s="2" t="s">
        <v>3475</v>
      </c>
      <c r="D4555" s="2" t="s">
        <v>2008</v>
      </c>
      <c r="E4555" s="2" t="s">
        <v>38</v>
      </c>
      <c r="F4555" s="2" t="s">
        <v>39</v>
      </c>
      <c r="L4555" s="2" t="s">
        <v>571</v>
      </c>
      <c r="M4555" s="2" t="s">
        <v>40</v>
      </c>
      <c r="P4555" s="2" t="s">
        <v>40</v>
      </c>
      <c r="Q4555" s="2" t="s">
        <v>363</v>
      </c>
      <c r="R4555" s="2" t="s">
        <v>364</v>
      </c>
      <c r="S4555" s="13">
        <v>1</v>
      </c>
      <c r="T4555" s="14">
        <v>291.77999999999997</v>
      </c>
      <c r="U4555" s="2">
        <f t="shared" si="807"/>
        <v>67.109399999999994</v>
      </c>
      <c r="V4555" s="2">
        <f t="shared" si="808"/>
        <v>358.88939999999997</v>
      </c>
      <c r="X4555" s="5">
        <f t="shared" si="811"/>
        <v>1</v>
      </c>
      <c r="Z4555" s="2" t="s">
        <v>119</v>
      </c>
      <c r="AA4555" s="2" t="s">
        <v>3379</v>
      </c>
      <c r="AK4555" s="2">
        <f t="shared" si="810"/>
        <v>291.77999999999997</v>
      </c>
      <c r="AL4555" s="18">
        <f t="shared" si="802"/>
        <v>1</v>
      </c>
    </row>
    <row r="4556" spans="1:38" x14ac:dyDescent="0.2">
      <c r="A4556" s="2">
        <v>2026</v>
      </c>
      <c r="B4556" s="2">
        <v>7</v>
      </c>
      <c r="C4556" s="2" t="s">
        <v>3475</v>
      </c>
      <c r="D4556" s="2" t="s">
        <v>1573</v>
      </c>
      <c r="E4556" s="2" t="s">
        <v>752</v>
      </c>
      <c r="F4556" s="2" t="s">
        <v>39</v>
      </c>
      <c r="L4556" s="2" t="s">
        <v>461</v>
      </c>
      <c r="M4556" s="2" t="s">
        <v>40</v>
      </c>
      <c r="P4556" s="2" t="s">
        <v>282</v>
      </c>
      <c r="Q4556" s="2" t="s">
        <v>1284</v>
      </c>
      <c r="R4556" s="2" t="s">
        <v>1285</v>
      </c>
      <c r="S4556" s="13">
        <v>1</v>
      </c>
      <c r="T4556" s="14">
        <v>250</v>
      </c>
      <c r="U4556" s="2">
        <f t="shared" si="807"/>
        <v>57.5</v>
      </c>
      <c r="V4556" s="2">
        <f t="shared" si="808"/>
        <v>307.5</v>
      </c>
      <c r="W4556" s="2">
        <v>212.5</v>
      </c>
      <c r="X4556" s="5">
        <f t="shared" si="811"/>
        <v>0.15</v>
      </c>
      <c r="Z4556" s="2" t="s">
        <v>117</v>
      </c>
      <c r="AA4556" s="2" t="s">
        <v>181</v>
      </c>
      <c r="AB4556" s="2" t="s">
        <v>3380</v>
      </c>
      <c r="AC4556" s="2" t="s">
        <v>1327</v>
      </c>
      <c r="AK4556" s="2">
        <f t="shared" si="810"/>
        <v>37.5</v>
      </c>
      <c r="AL4556" s="18">
        <f t="shared" si="802"/>
        <v>0.15</v>
      </c>
    </row>
    <row r="4557" spans="1:38" x14ac:dyDescent="0.2">
      <c r="A4557" s="2">
        <v>2026</v>
      </c>
      <c r="B4557" s="2">
        <v>7</v>
      </c>
      <c r="C4557" s="2" t="s">
        <v>3475</v>
      </c>
      <c r="D4557" s="2" t="s">
        <v>3497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561</v>
      </c>
      <c r="R4557" s="2" t="s">
        <v>562</v>
      </c>
      <c r="S4557" s="13">
        <v>1</v>
      </c>
      <c r="T4557" s="14">
        <v>14.29</v>
      </c>
      <c r="U4557" s="2">
        <f t="shared" si="807"/>
        <v>3.2866999999999997</v>
      </c>
      <c r="V4557" s="2">
        <f t="shared" si="808"/>
        <v>17.576699999999999</v>
      </c>
      <c r="W4557" s="2">
        <f>5.33*S4557</f>
        <v>5.33</v>
      </c>
      <c r="X4557" s="5">
        <f t="shared" si="811"/>
        <v>0.62701189643107069</v>
      </c>
      <c r="Y4557" s="2" t="s">
        <v>3300</v>
      </c>
      <c r="Z4557" s="2" t="s">
        <v>117</v>
      </c>
      <c r="AA4557" s="2" t="s">
        <v>118</v>
      </c>
      <c r="AB4557" s="2" t="s">
        <v>119</v>
      </c>
      <c r="AC4557" s="2" t="s">
        <v>114</v>
      </c>
      <c r="AK4557" s="2">
        <f t="shared" si="810"/>
        <v>8.9599999999999991</v>
      </c>
      <c r="AL4557" s="18">
        <f t="shared" si="802"/>
        <v>0.62701189643107069</v>
      </c>
    </row>
    <row r="4558" spans="1:38" x14ac:dyDescent="0.2">
      <c r="A4558" s="2">
        <v>2026</v>
      </c>
      <c r="B4558" s="2">
        <v>7</v>
      </c>
      <c r="C4558" s="2" t="s">
        <v>3475</v>
      </c>
      <c r="D4558" s="2" t="s">
        <v>3497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114</v>
      </c>
      <c r="Q4558" s="2" t="s">
        <v>904</v>
      </c>
      <c r="R4558" s="2" t="s">
        <v>905</v>
      </c>
      <c r="S4558" s="13">
        <v>1</v>
      </c>
      <c r="T4558" s="14">
        <v>699.3</v>
      </c>
      <c r="U4558" s="2">
        <f t="shared" si="807"/>
        <v>160.839</v>
      </c>
      <c r="V4558" s="2">
        <f t="shared" si="808"/>
        <v>860.1389999999999</v>
      </c>
      <c r="W4558" s="2">
        <v>345.20339999999999</v>
      </c>
      <c r="X4558" s="5">
        <f t="shared" si="811"/>
        <v>0.50635864435864431</v>
      </c>
      <c r="Y4558" s="2" t="s">
        <v>3300</v>
      </c>
      <c r="Z4558" s="2" t="s">
        <v>117</v>
      </c>
      <c r="AA4558" s="2" t="s">
        <v>181</v>
      </c>
      <c r="AB4558" s="2" t="s">
        <v>119</v>
      </c>
      <c r="AC4558" s="2" t="s">
        <v>114</v>
      </c>
      <c r="AK4558" s="2">
        <f t="shared" si="810"/>
        <v>354.09659999999997</v>
      </c>
      <c r="AL4558" s="18">
        <f t="shared" si="802"/>
        <v>0.50635864435864431</v>
      </c>
    </row>
    <row r="4559" spans="1:38" x14ac:dyDescent="0.2">
      <c r="A4559" s="2">
        <v>2026</v>
      </c>
      <c r="B4559" s="2">
        <v>7</v>
      </c>
      <c r="C4559" s="2" t="s">
        <v>3475</v>
      </c>
      <c r="D4559" s="2" t="s">
        <v>3497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188</v>
      </c>
      <c r="R4559" s="2" t="s">
        <v>189</v>
      </c>
      <c r="S4559" s="13">
        <v>1</v>
      </c>
      <c r="T4559" s="14">
        <v>60</v>
      </c>
      <c r="U4559" s="2">
        <f t="shared" si="807"/>
        <v>13.8</v>
      </c>
      <c r="V4559" s="2">
        <f t="shared" si="808"/>
        <v>73.8</v>
      </c>
      <c r="W4559" s="2">
        <f>T4559*40%</f>
        <v>24</v>
      </c>
      <c r="X4559" s="5">
        <f t="shared" si="811"/>
        <v>0.6</v>
      </c>
      <c r="Y4559" s="2" t="s">
        <v>3300</v>
      </c>
      <c r="Z4559" s="2" t="s">
        <v>117</v>
      </c>
      <c r="AA4559" s="2" t="s">
        <v>190</v>
      </c>
      <c r="AB4559" s="2" t="s">
        <v>189</v>
      </c>
      <c r="AC4559" s="2" t="s">
        <v>40</v>
      </c>
      <c r="AK4559" s="2">
        <f t="shared" si="810"/>
        <v>36</v>
      </c>
      <c r="AL4559" s="18">
        <f t="shared" si="802"/>
        <v>0.6</v>
      </c>
    </row>
    <row r="4560" spans="1:38" x14ac:dyDescent="0.2">
      <c r="A4560" s="2">
        <v>2026</v>
      </c>
      <c r="B4560" s="2">
        <v>7</v>
      </c>
      <c r="C4560" s="2" t="s">
        <v>3475</v>
      </c>
      <c r="D4560" s="2" t="s">
        <v>3497</v>
      </c>
      <c r="E4560" s="2" t="s">
        <v>38</v>
      </c>
      <c r="F4560" s="2" t="s">
        <v>39</v>
      </c>
      <c r="L4560" s="2" t="s">
        <v>99</v>
      </c>
      <c r="M4560" s="2" t="s">
        <v>40</v>
      </c>
      <c r="P4560" s="2" t="s">
        <v>187</v>
      </c>
      <c r="Q4560" s="2" t="s">
        <v>191</v>
      </c>
      <c r="R4560" s="2" t="s">
        <v>190</v>
      </c>
      <c r="S4560" s="13">
        <v>1</v>
      </c>
      <c r="T4560" s="14">
        <v>55</v>
      </c>
      <c r="U4560" s="2">
        <f t="shared" si="807"/>
        <v>12.65</v>
      </c>
      <c r="V4560" s="2">
        <f t="shared" si="808"/>
        <v>67.650000000000006</v>
      </c>
      <c r="W4560" s="2">
        <f>T4560*50%</f>
        <v>27.5</v>
      </c>
      <c r="X4560" s="5">
        <f t="shared" si="811"/>
        <v>0.5</v>
      </c>
      <c r="Y4560" s="2" t="s">
        <v>3300</v>
      </c>
      <c r="Z4560" s="2" t="s">
        <v>117</v>
      </c>
      <c r="AA4560" s="2" t="s">
        <v>190</v>
      </c>
      <c r="AB4560" s="2" t="s">
        <v>190</v>
      </c>
      <c r="AC4560" s="2" t="s">
        <v>40</v>
      </c>
      <c r="AK4560" s="2">
        <f t="shared" si="810"/>
        <v>27.5</v>
      </c>
      <c r="AL4560" s="18">
        <f t="shared" si="802"/>
        <v>0.5</v>
      </c>
    </row>
    <row r="4561" spans="1:38" x14ac:dyDescent="0.2">
      <c r="A4561" s="2">
        <v>2026</v>
      </c>
      <c r="B4561" s="2">
        <v>7</v>
      </c>
      <c r="C4561" s="2" t="s">
        <v>3475</v>
      </c>
      <c r="D4561" s="2" t="s">
        <v>530</v>
      </c>
      <c r="E4561" s="2" t="s">
        <v>108</v>
      </c>
      <c r="F4561" s="2" t="s">
        <v>531</v>
      </c>
      <c r="G4561" s="2">
        <v>502139552</v>
      </c>
      <c r="H4561" s="2" t="s">
        <v>40</v>
      </c>
      <c r="I4561" s="2" t="s">
        <v>339</v>
      </c>
      <c r="J4561" s="2" t="s">
        <v>532</v>
      </c>
      <c r="L4561" s="2" t="s">
        <v>339</v>
      </c>
      <c r="M4561" s="2" t="s">
        <v>80</v>
      </c>
      <c r="P4561" s="2" t="s">
        <v>1038</v>
      </c>
      <c r="Q4561" s="2" t="s">
        <v>3498</v>
      </c>
      <c r="R4561" s="2" t="s">
        <v>3499</v>
      </c>
      <c r="S4561" s="13">
        <v>4</v>
      </c>
      <c r="T4561" s="14">
        <v>794.88</v>
      </c>
      <c r="U4561" s="2">
        <f t="shared" si="807"/>
        <v>182.82240000000002</v>
      </c>
      <c r="V4561" s="2">
        <f t="shared" si="808"/>
        <v>977.70240000000001</v>
      </c>
      <c r="W4561" s="2">
        <f>143.9*S4561</f>
        <v>575.6</v>
      </c>
      <c r="X4561" s="5">
        <f t="shared" si="811"/>
        <v>0.27586553945249592</v>
      </c>
      <c r="Z4561" s="2" t="s">
        <v>3226</v>
      </c>
      <c r="AA4561" s="2" t="s">
        <v>1041</v>
      </c>
      <c r="AB4561" s="2" t="s">
        <v>1042</v>
      </c>
      <c r="AC4561" s="2" t="s">
        <v>1038</v>
      </c>
      <c r="AK4561" s="2">
        <f t="shared" si="810"/>
        <v>219.27999999999997</v>
      </c>
      <c r="AL4561" s="18">
        <f t="shared" si="802"/>
        <v>0.27586553945249592</v>
      </c>
    </row>
    <row r="4562" spans="1:38" x14ac:dyDescent="0.2">
      <c r="A4562" s="2">
        <v>2026</v>
      </c>
      <c r="B4562" s="2">
        <v>7</v>
      </c>
      <c r="C4562" s="2" t="s">
        <v>3475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188</v>
      </c>
      <c r="R4562" s="2" t="s">
        <v>189</v>
      </c>
      <c r="S4562" s="13">
        <v>1</v>
      </c>
      <c r="T4562" s="14">
        <v>196.8</v>
      </c>
      <c r="U4562" s="2">
        <f t="shared" si="807"/>
        <v>45.264000000000003</v>
      </c>
      <c r="V4562" s="2">
        <f t="shared" si="808"/>
        <v>242.06400000000002</v>
      </c>
      <c r="W4562" s="2">
        <f>T4562*40%</f>
        <v>78.720000000000013</v>
      </c>
      <c r="X4562" s="5">
        <f t="shared" si="811"/>
        <v>0.6</v>
      </c>
      <c r="Y4562" s="2" t="s">
        <v>3493</v>
      </c>
      <c r="Z4562" s="2" t="s">
        <v>117</v>
      </c>
      <c r="AA4562" s="2" t="s">
        <v>190</v>
      </c>
      <c r="AB4562" s="2" t="s">
        <v>189</v>
      </c>
      <c r="AC4562" s="2" t="s">
        <v>40</v>
      </c>
      <c r="AK4562" s="2">
        <f t="shared" si="810"/>
        <v>118.08</v>
      </c>
      <c r="AL4562" s="18">
        <f t="shared" si="802"/>
        <v>0.6</v>
      </c>
    </row>
    <row r="4563" spans="1:38" x14ac:dyDescent="0.2">
      <c r="A4563" s="2">
        <v>2026</v>
      </c>
      <c r="B4563" s="2">
        <v>7</v>
      </c>
      <c r="C4563" s="2" t="s">
        <v>3475</v>
      </c>
      <c r="D4563" s="2" t="s">
        <v>1720</v>
      </c>
      <c r="E4563" s="2" t="s">
        <v>108</v>
      </c>
      <c r="F4563" s="2" t="s">
        <v>717</v>
      </c>
      <c r="L4563" s="2" t="s">
        <v>344</v>
      </c>
      <c r="M4563" s="2" t="s">
        <v>40</v>
      </c>
      <c r="P4563" s="2" t="s">
        <v>187</v>
      </c>
      <c r="Q4563" s="2" t="s">
        <v>191</v>
      </c>
      <c r="R4563" s="2" t="s">
        <v>190</v>
      </c>
      <c r="S4563" s="13">
        <v>0.75</v>
      </c>
      <c r="T4563" s="14">
        <v>41.25</v>
      </c>
      <c r="U4563" s="2">
        <f t="shared" si="807"/>
        <v>9.4875000000000007</v>
      </c>
      <c r="V4563" s="2">
        <f t="shared" si="808"/>
        <v>50.737499999999997</v>
      </c>
      <c r="W4563" s="2">
        <f>T4563*50%</f>
        <v>20.625</v>
      </c>
      <c r="X4563" s="5">
        <f t="shared" si="811"/>
        <v>0.5</v>
      </c>
      <c r="Y4563" s="2" t="s">
        <v>3493</v>
      </c>
      <c r="Z4563" s="2" t="s">
        <v>117</v>
      </c>
      <c r="AA4563" s="2" t="s">
        <v>190</v>
      </c>
      <c r="AB4563" s="2" t="s">
        <v>190</v>
      </c>
      <c r="AC4563" s="2" t="s">
        <v>40</v>
      </c>
      <c r="AK4563" s="2">
        <f t="shared" si="810"/>
        <v>20.625</v>
      </c>
      <c r="AL4563" s="18">
        <f t="shared" si="802"/>
        <v>0.5</v>
      </c>
    </row>
    <row r="4564" spans="1:38" x14ac:dyDescent="0.2">
      <c r="A4564" s="2">
        <v>2026</v>
      </c>
      <c r="B4564" s="2">
        <v>7</v>
      </c>
      <c r="C4564" s="2" t="s">
        <v>3475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188</v>
      </c>
      <c r="R4564" s="2" t="s">
        <v>189</v>
      </c>
      <c r="S4564" s="13">
        <v>1</v>
      </c>
      <c r="T4564" s="14">
        <v>75</v>
      </c>
      <c r="U4564" s="2">
        <f t="shared" si="807"/>
        <v>17.25</v>
      </c>
      <c r="V4564" s="2">
        <f t="shared" si="808"/>
        <v>92.25</v>
      </c>
      <c r="W4564" s="2">
        <f>T4564*40%</f>
        <v>30</v>
      </c>
      <c r="X4564" s="5">
        <f t="shared" si="811"/>
        <v>0.6</v>
      </c>
      <c r="Y4564" s="2" t="s">
        <v>3493</v>
      </c>
      <c r="Z4564" s="2" t="s">
        <v>117</v>
      </c>
      <c r="AA4564" s="2" t="s">
        <v>190</v>
      </c>
      <c r="AB4564" s="2" t="s">
        <v>189</v>
      </c>
      <c r="AC4564" s="2" t="s">
        <v>40</v>
      </c>
      <c r="AK4564" s="2">
        <f t="shared" si="810"/>
        <v>45</v>
      </c>
      <c r="AL4564" s="18">
        <f t="shared" si="802"/>
        <v>0.6</v>
      </c>
    </row>
    <row r="4565" spans="1:38" x14ac:dyDescent="0.2">
      <c r="A4565" s="2">
        <v>2026</v>
      </c>
      <c r="B4565" s="2">
        <v>7</v>
      </c>
      <c r="C4565" s="2" t="s">
        <v>3475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187</v>
      </c>
      <c r="Q4565" s="2" t="s">
        <v>191</v>
      </c>
      <c r="R4565" s="2" t="s">
        <v>190</v>
      </c>
      <c r="S4565" s="13">
        <v>1</v>
      </c>
      <c r="T4565" s="14">
        <v>55</v>
      </c>
      <c r="U4565" s="2">
        <f t="shared" si="807"/>
        <v>12.65</v>
      </c>
      <c r="V4565" s="2">
        <f t="shared" si="808"/>
        <v>67.650000000000006</v>
      </c>
      <c r="W4565" s="2">
        <f>T4565*50%</f>
        <v>27.5</v>
      </c>
      <c r="X4565" s="5">
        <f t="shared" si="811"/>
        <v>0.5</v>
      </c>
      <c r="Y4565" s="2" t="s">
        <v>3493</v>
      </c>
      <c r="Z4565" s="2" t="s">
        <v>117</v>
      </c>
      <c r="AA4565" s="2" t="s">
        <v>190</v>
      </c>
      <c r="AB4565" s="2" t="s">
        <v>190</v>
      </c>
      <c r="AC4565" s="2" t="s">
        <v>40</v>
      </c>
      <c r="AK4565" s="2">
        <f t="shared" si="810"/>
        <v>27.5</v>
      </c>
      <c r="AL4565" s="18">
        <f t="shared" si="802"/>
        <v>0.5</v>
      </c>
    </row>
    <row r="4566" spans="1:38" x14ac:dyDescent="0.2">
      <c r="A4566" s="2">
        <v>2026</v>
      </c>
      <c r="B4566" s="2">
        <v>7</v>
      </c>
      <c r="C4566" s="2" t="s">
        <v>3475</v>
      </c>
      <c r="D4566" s="2" t="s">
        <v>1275</v>
      </c>
      <c r="E4566" s="2" t="s">
        <v>108</v>
      </c>
      <c r="F4566" s="2" t="s">
        <v>39</v>
      </c>
      <c r="G4566" s="2">
        <v>506187993</v>
      </c>
      <c r="H4566" s="2" t="s">
        <v>290</v>
      </c>
      <c r="I4566" s="2" t="s">
        <v>1276</v>
      </c>
      <c r="J4566" s="2" t="s">
        <v>1277</v>
      </c>
      <c r="L4566" s="2" t="s">
        <v>339</v>
      </c>
      <c r="M4566" s="2" t="s">
        <v>40</v>
      </c>
      <c r="P4566" s="2" t="s">
        <v>40</v>
      </c>
      <c r="Q4566" s="2" t="s">
        <v>363</v>
      </c>
      <c r="R4566" s="2" t="s">
        <v>364</v>
      </c>
      <c r="S4566" s="13">
        <v>1</v>
      </c>
      <c r="T4566" s="14">
        <v>87.5</v>
      </c>
      <c r="U4566" s="2">
        <f t="shared" si="807"/>
        <v>20.125</v>
      </c>
      <c r="V4566" s="2">
        <f t="shared" si="808"/>
        <v>107.625</v>
      </c>
      <c r="X4566" s="5">
        <f t="shared" si="811"/>
        <v>1</v>
      </c>
      <c r="Y4566" s="2" t="s">
        <v>3493</v>
      </c>
      <c r="Z4566" s="2" t="s">
        <v>119</v>
      </c>
      <c r="AA4566" s="2" t="s">
        <v>3379</v>
      </c>
      <c r="AK4566" s="2">
        <f t="shared" si="810"/>
        <v>87.5</v>
      </c>
      <c r="AL4566" s="18">
        <f t="shared" si="802"/>
        <v>1</v>
      </c>
    </row>
    <row r="4567" spans="1:38" x14ac:dyDescent="0.2">
      <c r="A4567" s="2">
        <v>2026</v>
      </c>
      <c r="B4567" s="2">
        <v>7</v>
      </c>
      <c r="C4567" s="2" t="s">
        <v>3475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188</v>
      </c>
      <c r="R4567" s="2" t="s">
        <v>189</v>
      </c>
      <c r="S4567" s="13">
        <v>1</v>
      </c>
      <c r="T4567" s="14">
        <v>202</v>
      </c>
      <c r="U4567" s="2">
        <f t="shared" si="807"/>
        <v>46.46</v>
      </c>
      <c r="V4567" s="2">
        <f t="shared" si="808"/>
        <v>248.46</v>
      </c>
      <c r="W4567" s="2">
        <f>T4567*40%</f>
        <v>80.800000000000011</v>
      </c>
      <c r="X4567" s="5">
        <f t="shared" si="811"/>
        <v>0.6</v>
      </c>
      <c r="Y4567" s="2" t="s">
        <v>2540</v>
      </c>
      <c r="Z4567" s="2" t="s">
        <v>117</v>
      </c>
      <c r="AA4567" s="2" t="s">
        <v>190</v>
      </c>
      <c r="AB4567" s="2" t="s">
        <v>189</v>
      </c>
      <c r="AC4567" s="2" t="s">
        <v>40</v>
      </c>
      <c r="AK4567" s="2">
        <f t="shared" si="810"/>
        <v>121.19999999999999</v>
      </c>
      <c r="AL4567" s="18">
        <f t="shared" si="802"/>
        <v>0.6</v>
      </c>
    </row>
    <row r="4568" spans="1:38" x14ac:dyDescent="0.2">
      <c r="A4568" s="2">
        <v>2026</v>
      </c>
      <c r="B4568" s="2">
        <v>7</v>
      </c>
      <c r="C4568" s="2" t="s">
        <v>3475</v>
      </c>
      <c r="D4568" s="2" t="s">
        <v>1290</v>
      </c>
      <c r="E4568" s="2" t="s">
        <v>108</v>
      </c>
      <c r="F4568" s="2" t="s">
        <v>39</v>
      </c>
      <c r="L4568" s="2" t="s">
        <v>133</v>
      </c>
      <c r="M4568" s="2" t="s">
        <v>40</v>
      </c>
      <c r="P4568" s="2" t="s">
        <v>187</v>
      </c>
      <c r="Q4568" s="2" t="s">
        <v>191</v>
      </c>
      <c r="R4568" s="2" t="s">
        <v>190</v>
      </c>
      <c r="S4568" s="13">
        <v>4</v>
      </c>
      <c r="T4568" s="14">
        <v>220</v>
      </c>
      <c r="U4568" s="2">
        <f t="shared" si="807"/>
        <v>50.6</v>
      </c>
      <c r="V4568" s="2">
        <f t="shared" si="808"/>
        <v>270.60000000000002</v>
      </c>
      <c r="W4568" s="2">
        <f>T4568*50%</f>
        <v>110</v>
      </c>
      <c r="X4568" s="5">
        <f t="shared" si="811"/>
        <v>0.5</v>
      </c>
      <c r="Y4568" s="2" t="s">
        <v>2540</v>
      </c>
      <c r="Z4568" s="2" t="s">
        <v>117</v>
      </c>
      <c r="AA4568" s="2" t="s">
        <v>190</v>
      </c>
      <c r="AB4568" s="2" t="s">
        <v>190</v>
      </c>
      <c r="AC4568" s="2" t="s">
        <v>40</v>
      </c>
      <c r="AK4568" s="2">
        <f t="shared" si="810"/>
        <v>110</v>
      </c>
      <c r="AL4568" s="18">
        <f t="shared" si="802"/>
        <v>0.5</v>
      </c>
    </row>
    <row r="4569" spans="1:38" x14ac:dyDescent="0.2">
      <c r="A4569" s="2">
        <v>2026</v>
      </c>
      <c r="B4569" s="2">
        <v>7</v>
      </c>
      <c r="C4569" s="2" t="s">
        <v>3475</v>
      </c>
      <c r="D4569" s="2" t="s">
        <v>1657</v>
      </c>
      <c r="E4569" s="2" t="s">
        <v>38</v>
      </c>
      <c r="F4569" s="2" t="s">
        <v>39</v>
      </c>
      <c r="L4569" s="2" t="s">
        <v>177</v>
      </c>
      <c r="M4569" s="2" t="s">
        <v>40</v>
      </c>
      <c r="P4569" s="2" t="s">
        <v>114</v>
      </c>
      <c r="Q4569" s="2" t="s">
        <v>373</v>
      </c>
      <c r="R4569" s="2" t="s">
        <v>374</v>
      </c>
      <c r="S4569" s="13">
        <v>1</v>
      </c>
      <c r="T4569" s="14">
        <v>48.95</v>
      </c>
      <c r="U4569" s="2">
        <f t="shared" si="807"/>
        <v>11.258500000000002</v>
      </c>
      <c r="V4569" s="2">
        <f t="shared" si="808"/>
        <v>60.208500000000001</v>
      </c>
      <c r="W4569" s="2">
        <f>23.042*S4569</f>
        <v>23.042000000000002</v>
      </c>
      <c r="X4569" s="5">
        <f t="shared" si="811"/>
        <v>0.52927477017364655</v>
      </c>
      <c r="Y4569" s="2" t="s">
        <v>2540</v>
      </c>
      <c r="Z4569" s="2" t="s">
        <v>117</v>
      </c>
      <c r="AA4569" s="2" t="s">
        <v>118</v>
      </c>
      <c r="AB4569" s="2" t="s">
        <v>119</v>
      </c>
      <c r="AC4569" s="2" t="s">
        <v>114</v>
      </c>
      <c r="AK4569" s="2">
        <f t="shared" si="810"/>
        <v>25.908000000000001</v>
      </c>
      <c r="AL4569" s="18">
        <f t="shared" si="802"/>
        <v>0.52927477017364655</v>
      </c>
    </row>
    <row r="4570" spans="1:38" x14ac:dyDescent="0.2">
      <c r="A4570" s="2">
        <v>2026</v>
      </c>
      <c r="B4570" s="2">
        <v>7</v>
      </c>
      <c r="C4570" s="2" t="s">
        <v>3475</v>
      </c>
      <c r="D4570" s="2" t="s">
        <v>289</v>
      </c>
      <c r="E4570" s="2" t="s">
        <v>108</v>
      </c>
      <c r="F4570" s="2" t="s">
        <v>39</v>
      </c>
      <c r="G4570" s="2">
        <v>508428300</v>
      </c>
      <c r="H4570" s="2" t="s">
        <v>290</v>
      </c>
      <c r="I4570" s="2" t="s">
        <v>291</v>
      </c>
      <c r="J4570" s="2" t="s">
        <v>292</v>
      </c>
      <c r="K4570" s="2">
        <v>917165642</v>
      </c>
      <c r="L4570" s="2" t="s">
        <v>293</v>
      </c>
      <c r="M4570" s="2" t="s">
        <v>290</v>
      </c>
      <c r="P4570" s="2" t="s">
        <v>114</v>
      </c>
      <c r="Q4570" s="2" t="s">
        <v>1920</v>
      </c>
      <c r="R4570" s="2" t="s">
        <v>1921</v>
      </c>
      <c r="S4570" s="13">
        <v>1</v>
      </c>
      <c r="T4570" s="14">
        <v>25000</v>
      </c>
      <c r="U4570" s="2">
        <f t="shared" si="807"/>
        <v>5750</v>
      </c>
      <c r="V4570" s="2">
        <f t="shared" si="808"/>
        <v>30750</v>
      </c>
      <c r="W4570" s="2">
        <f>19591.14+492.45</f>
        <v>20083.59</v>
      </c>
      <c r="X4570" s="5">
        <f t="shared" si="811"/>
        <v>0.19665639999999998</v>
      </c>
      <c r="Z4570" s="2" t="s">
        <v>104</v>
      </c>
      <c r="AA4570" s="2" t="s">
        <v>150</v>
      </c>
      <c r="AB4570" s="2" t="s">
        <v>151</v>
      </c>
      <c r="AC4570" s="2" t="s">
        <v>114</v>
      </c>
      <c r="AK4570" s="2">
        <f>T4570-W4570</f>
        <v>4916.41</v>
      </c>
      <c r="AL4570" s="18">
        <f t="shared" si="802"/>
        <v>0.19665639999999998</v>
      </c>
    </row>
    <row r="4571" spans="1:38" x14ac:dyDescent="0.2">
      <c r="A4571" s="2">
        <v>2026</v>
      </c>
      <c r="B4571" s="2">
        <v>7</v>
      </c>
      <c r="C4571" s="2" t="s">
        <v>3475</v>
      </c>
      <c r="D4571" s="2" t="s">
        <v>3500</v>
      </c>
      <c r="E4571" s="2" t="s">
        <v>183</v>
      </c>
      <c r="F4571" s="2" t="s">
        <v>3501</v>
      </c>
      <c r="G4571" s="2">
        <v>503634824</v>
      </c>
      <c r="L4571" s="2" t="s">
        <v>99</v>
      </c>
      <c r="M4571" s="2" t="s">
        <v>40</v>
      </c>
      <c r="P4571" s="2" t="s">
        <v>40</v>
      </c>
      <c r="Q4571" s="2" t="s">
        <v>363</v>
      </c>
      <c r="R4571" s="2" t="s">
        <v>364</v>
      </c>
      <c r="S4571" s="13">
        <v>1</v>
      </c>
      <c r="T4571" s="2">
        <v>190</v>
      </c>
      <c r="U4571" s="2">
        <f t="shared" si="807"/>
        <v>43.7</v>
      </c>
      <c r="V4571" s="2">
        <f t="shared" si="808"/>
        <v>233.7</v>
      </c>
      <c r="X4571" s="5">
        <f t="shared" si="811"/>
        <v>1</v>
      </c>
      <c r="Z4571" s="2" t="s">
        <v>117</v>
      </c>
      <c r="AA4571" s="2" t="s">
        <v>3379</v>
      </c>
      <c r="AK4571" s="2">
        <f>T4571-W4571</f>
        <v>190</v>
      </c>
      <c r="AL4571" s="18">
        <f t="shared" si="802"/>
        <v>1</v>
      </c>
    </row>
    <row r="4572" spans="1:38" x14ac:dyDescent="0.2">
      <c r="A4572" s="2">
        <v>2026</v>
      </c>
      <c r="B4572" s="2">
        <v>8</v>
      </c>
      <c r="C4572" s="2" t="s">
        <v>3510</v>
      </c>
      <c r="D4572" s="2" t="s">
        <v>2442</v>
      </c>
      <c r="E4572" s="2" t="s">
        <v>108</v>
      </c>
      <c r="F4572" s="2" t="s">
        <v>39</v>
      </c>
      <c r="L4572" s="2" t="s">
        <v>398</v>
      </c>
      <c r="M4572" s="2" t="s">
        <v>40</v>
      </c>
      <c r="P4572" s="2" t="s">
        <v>40</v>
      </c>
      <c r="Q4572" s="2" t="s">
        <v>140</v>
      </c>
      <c r="R4572" s="2" t="s">
        <v>141</v>
      </c>
      <c r="S4572" s="13">
        <v>-1</v>
      </c>
      <c r="T4572" s="14">
        <v>-1126.29</v>
      </c>
      <c r="U4572" s="2">
        <f>T4572*23%</f>
        <v>-259.04669999999999</v>
      </c>
      <c r="V4572" s="2">
        <f t="shared" si="808"/>
        <v>-1385.3366999999998</v>
      </c>
      <c r="X4572" s="18"/>
      <c r="Z4572" s="2" t="s">
        <v>119</v>
      </c>
      <c r="AA4572" s="2" t="s">
        <v>142</v>
      </c>
      <c r="AK4572" s="2">
        <f t="shared" ref="AK4572:AK4576" si="812">T4572-W4572</f>
        <v>-1126.29</v>
      </c>
      <c r="AL4572" s="18"/>
    </row>
    <row r="4573" spans="1:38" x14ac:dyDescent="0.2">
      <c r="A4573" s="2">
        <v>2026</v>
      </c>
      <c r="B4573" s="2">
        <v>8</v>
      </c>
      <c r="C4573" s="2" t="s">
        <v>3510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187</v>
      </c>
      <c r="Q4573" s="2" t="s">
        <v>3511</v>
      </c>
      <c r="R4573" s="2" t="s">
        <v>3512</v>
      </c>
      <c r="S4573" s="13">
        <v>-2</v>
      </c>
      <c r="T4573" s="14">
        <v>-253</v>
      </c>
      <c r="U4573" s="2">
        <f t="shared" ref="U4573:U4593" si="813">T4573*23%</f>
        <v>-58.190000000000005</v>
      </c>
      <c r="V4573" s="2">
        <f t="shared" ref="V4573:V4594" si="814">T4573+U4573</f>
        <v>-311.19</v>
      </c>
      <c r="W4573" s="2">
        <f>253*50%</f>
        <v>126.5</v>
      </c>
      <c r="X4573" s="18">
        <f t="shared" ref="X4573" si="815">SIGN(T4573)*((ABS(T4573)-W4573)/ABS(T4573))</f>
        <v>-0.5</v>
      </c>
      <c r="Z4573" s="2" t="s">
        <v>117</v>
      </c>
      <c r="AA4573" s="2" t="s">
        <v>190</v>
      </c>
      <c r="AB4573" s="2" t="s">
        <v>190</v>
      </c>
      <c r="AC4573" s="2" t="s">
        <v>40</v>
      </c>
      <c r="AK4573" s="2">
        <f t="shared" si="812"/>
        <v>-379.5</v>
      </c>
      <c r="AL4573" s="18">
        <f t="shared" ref="AL4572:AL4576" si="816">SIGN(T4573)*((ABS(T4573)-W4573)/ABS(T4573))</f>
        <v>-0.5</v>
      </c>
    </row>
    <row r="4574" spans="1:38" x14ac:dyDescent="0.2">
      <c r="A4574" s="2">
        <v>2026</v>
      </c>
      <c r="B4574" s="2">
        <v>8</v>
      </c>
      <c r="C4574" s="2" t="s">
        <v>3510</v>
      </c>
      <c r="D4574" s="2" t="s">
        <v>2008</v>
      </c>
      <c r="E4574" s="2" t="s">
        <v>38</v>
      </c>
      <c r="F4574" s="2" t="s">
        <v>39</v>
      </c>
      <c r="L4574" s="2" t="s">
        <v>571</v>
      </c>
      <c r="M4574" s="2" t="s">
        <v>40</v>
      </c>
      <c r="P4574" s="2" t="s">
        <v>40</v>
      </c>
      <c r="Q4574" s="2" t="s">
        <v>140</v>
      </c>
      <c r="R4574" s="2" t="s">
        <v>141</v>
      </c>
      <c r="S4574" s="13">
        <v>-3</v>
      </c>
      <c r="T4574" s="14">
        <v>-330.73</v>
      </c>
      <c r="U4574" s="2">
        <f t="shared" si="813"/>
        <v>-76.067900000000009</v>
      </c>
      <c r="V4574" s="2">
        <f t="shared" si="814"/>
        <v>-406.79790000000003</v>
      </c>
      <c r="X4574" s="18"/>
      <c r="Z4574" s="2" t="s">
        <v>119</v>
      </c>
      <c r="AA4574" s="2" t="s">
        <v>142</v>
      </c>
      <c r="AK4574" s="2">
        <f t="shared" si="812"/>
        <v>-330.73</v>
      </c>
      <c r="AL4574" s="18">
        <f t="shared" si="816"/>
        <v>-1</v>
      </c>
    </row>
    <row r="4575" spans="1:38" x14ac:dyDescent="0.2">
      <c r="A4575" s="2">
        <v>2026</v>
      </c>
      <c r="B4575" s="2">
        <v>8</v>
      </c>
      <c r="C4575" s="2" t="s">
        <v>3510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72</v>
      </c>
      <c r="Q4575" s="2" t="s">
        <v>78</v>
      </c>
      <c r="R4575" s="2" t="s">
        <v>79</v>
      </c>
      <c r="S4575" s="13">
        <v>-1</v>
      </c>
      <c r="T4575" s="14">
        <v>-195</v>
      </c>
      <c r="U4575" s="2">
        <f t="shared" si="813"/>
        <v>-44.85</v>
      </c>
      <c r="V4575" s="2">
        <f t="shared" si="814"/>
        <v>-239.85</v>
      </c>
      <c r="W4575" s="2">
        <v>111.98</v>
      </c>
      <c r="X4575" s="18">
        <f>SIGN(T4575)*((ABS(T4575)-W4575)/ABS(T4575))</f>
        <v>-0.42574358974358972</v>
      </c>
      <c r="Z4575" s="2" t="s">
        <v>3226</v>
      </c>
      <c r="AA4575" s="2" t="s">
        <v>75</v>
      </c>
      <c r="AB4575" s="2" t="s">
        <v>76</v>
      </c>
      <c r="AC4575" s="2" t="s">
        <v>77</v>
      </c>
      <c r="AK4575" s="2">
        <f t="shared" si="812"/>
        <v>-306.98</v>
      </c>
      <c r="AL4575" s="18">
        <f t="shared" si="816"/>
        <v>-0.42574358974358972</v>
      </c>
    </row>
    <row r="4576" spans="1:38" x14ac:dyDescent="0.2">
      <c r="A4576" s="2">
        <v>2026</v>
      </c>
      <c r="B4576" s="2">
        <v>8</v>
      </c>
      <c r="C4576" s="2" t="s">
        <v>3510</v>
      </c>
      <c r="D4576" s="2" t="s">
        <v>428</v>
      </c>
      <c r="E4576" s="2" t="s">
        <v>38</v>
      </c>
      <c r="F4576" s="2" t="s">
        <v>39</v>
      </c>
      <c r="G4576" s="2">
        <v>500820384</v>
      </c>
      <c r="H4576" s="2" t="s">
        <v>40</v>
      </c>
      <c r="I4576" s="2" t="s">
        <v>429</v>
      </c>
      <c r="J4576" s="2" t="s">
        <v>430</v>
      </c>
      <c r="L4576" s="2" t="s">
        <v>99</v>
      </c>
      <c r="M4576" s="2" t="s">
        <v>40</v>
      </c>
      <c r="P4576" s="2" t="s">
        <v>93</v>
      </c>
      <c r="Q4576" s="2" t="s">
        <v>94</v>
      </c>
      <c r="R4576" s="2" t="s">
        <v>95</v>
      </c>
      <c r="S4576" s="13">
        <v>-1</v>
      </c>
      <c r="T4576" s="14">
        <v>-1.48</v>
      </c>
      <c r="U4576" s="2">
        <f t="shared" si="813"/>
        <v>-0.34040000000000004</v>
      </c>
      <c r="V4576" s="2">
        <f t="shared" si="814"/>
        <v>-1.8204</v>
      </c>
      <c r="W4576" s="2">
        <v>1.48</v>
      </c>
      <c r="X4576" s="18">
        <f>SIGN(T4576)*((ABS(T4576)-W4576)/ABS(T4576))</f>
        <v>0</v>
      </c>
      <c r="Z4576" s="2" t="s">
        <v>3226</v>
      </c>
      <c r="AA4576" s="2" t="s">
        <v>96</v>
      </c>
      <c r="AB4576" s="2" t="s">
        <v>76</v>
      </c>
      <c r="AC4576" s="2" t="s">
        <v>93</v>
      </c>
      <c r="AK4576" s="2">
        <f t="shared" si="812"/>
        <v>-2.96</v>
      </c>
      <c r="AL4576" s="18">
        <f t="shared" si="816"/>
        <v>0</v>
      </c>
    </row>
    <row r="4577" spans="1:38" x14ac:dyDescent="0.2">
      <c r="A4577" s="2">
        <v>2026</v>
      </c>
      <c r="B4577" s="2">
        <v>8</v>
      </c>
      <c r="C4577" s="2" t="s">
        <v>3510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72</v>
      </c>
      <c r="Q4577" s="2" t="s">
        <v>73</v>
      </c>
      <c r="R4577" s="2" t="s">
        <v>74</v>
      </c>
      <c r="S4577" s="13">
        <v>1</v>
      </c>
      <c r="T4577" s="14">
        <v>230</v>
      </c>
      <c r="U4577" s="2">
        <f t="shared" si="813"/>
        <v>52.900000000000006</v>
      </c>
      <c r="V4577" s="2">
        <f t="shared" si="814"/>
        <v>282.89999999999998</v>
      </c>
      <c r="W4577" s="2">
        <v>133.4616</v>
      </c>
      <c r="X4577" s="5">
        <f t="shared" si="811"/>
        <v>0.41973217391304346</v>
      </c>
      <c r="Z4577" s="2" t="s">
        <v>3226</v>
      </c>
      <c r="AA4577" s="2" t="s">
        <v>75</v>
      </c>
      <c r="AB4577" s="2" t="s">
        <v>76</v>
      </c>
      <c r="AC4577" s="2" t="s">
        <v>77</v>
      </c>
      <c r="AK4577" s="2">
        <f t="shared" ref="AK4572:AK4593" si="817">T4577-W4577</f>
        <v>96.538399999999996</v>
      </c>
      <c r="AL4577" s="34">
        <f t="shared" ref="AL4572:AL4603" si="818">(T4577-W4577)/T4577</f>
        <v>0.41973217391304346</v>
      </c>
    </row>
    <row r="4578" spans="1:38" x14ac:dyDescent="0.2">
      <c r="A4578" s="2">
        <v>2026</v>
      </c>
      <c r="B4578" s="2">
        <v>8</v>
      </c>
      <c r="C4578" s="2" t="s">
        <v>3510</v>
      </c>
      <c r="D4578" s="2" t="s">
        <v>1553</v>
      </c>
      <c r="E4578" s="2" t="s">
        <v>108</v>
      </c>
      <c r="F4578" s="2" t="s">
        <v>717</v>
      </c>
      <c r="G4578" s="2">
        <v>500975914</v>
      </c>
      <c r="H4578" s="2" t="s">
        <v>41</v>
      </c>
      <c r="I4578" s="2" t="s">
        <v>1554</v>
      </c>
      <c r="J4578" s="2" t="s">
        <v>1555</v>
      </c>
      <c r="L4578" s="2" t="s">
        <v>177</v>
      </c>
      <c r="M4578" s="2" t="s">
        <v>80</v>
      </c>
      <c r="P4578" s="2" t="s">
        <v>93</v>
      </c>
      <c r="Q4578" s="2" t="s">
        <v>94</v>
      </c>
      <c r="R4578" s="2" t="s">
        <v>95</v>
      </c>
      <c r="S4578" s="13">
        <v>1</v>
      </c>
      <c r="T4578" s="14">
        <v>1.48</v>
      </c>
      <c r="U4578" s="2">
        <f t="shared" si="813"/>
        <v>0.34040000000000004</v>
      </c>
      <c r="V4578" s="2">
        <f t="shared" si="814"/>
        <v>1.8204</v>
      </c>
      <c r="W4578" s="2">
        <v>1.48</v>
      </c>
      <c r="X4578" s="5">
        <f t="shared" si="811"/>
        <v>0</v>
      </c>
      <c r="Z4578" s="2" t="s">
        <v>3226</v>
      </c>
      <c r="AA4578" s="2" t="s">
        <v>96</v>
      </c>
      <c r="AB4578" s="2" t="s">
        <v>76</v>
      </c>
      <c r="AC4578" s="2" t="s">
        <v>93</v>
      </c>
      <c r="AK4578" s="2">
        <f t="shared" si="817"/>
        <v>0</v>
      </c>
      <c r="AL4578" s="34">
        <f t="shared" si="818"/>
        <v>0</v>
      </c>
    </row>
    <row r="4579" spans="1:38" x14ac:dyDescent="0.2">
      <c r="A4579" s="2">
        <v>2026</v>
      </c>
      <c r="B4579" s="2">
        <v>8</v>
      </c>
      <c r="C4579" s="2" t="s">
        <v>3510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187</v>
      </c>
      <c r="Q4579" s="2" t="s">
        <v>3511</v>
      </c>
      <c r="R4579" s="2" t="s">
        <v>3512</v>
      </c>
      <c r="S4579" s="13">
        <v>-6</v>
      </c>
      <c r="T4579" s="14">
        <v>-588</v>
      </c>
      <c r="U4579" s="2">
        <f t="shared" si="813"/>
        <v>-135.24</v>
      </c>
      <c r="V4579" s="2">
        <f t="shared" si="814"/>
        <v>-723.24</v>
      </c>
      <c r="W4579" s="2">
        <f>588*50%</f>
        <v>294</v>
      </c>
      <c r="X4579" s="18">
        <f t="shared" ref="X4579" si="819">SIGN(T4579)*((ABS(T4579)-W4579)/ABS(T4579))</f>
        <v>-0.5</v>
      </c>
      <c r="Z4579" s="2" t="s">
        <v>117</v>
      </c>
      <c r="AA4579" s="2" t="s">
        <v>190</v>
      </c>
      <c r="AB4579" s="2" t="s">
        <v>190</v>
      </c>
      <c r="AC4579" s="2" t="s">
        <v>40</v>
      </c>
      <c r="AK4579" s="2">
        <f t="shared" si="817"/>
        <v>-882</v>
      </c>
      <c r="AL4579" s="18">
        <f t="shared" ref="AL4579:AL4580" si="820">SIGN(T4579)*((ABS(T4579)-W4579)/ABS(T4579))</f>
        <v>-0.5</v>
      </c>
    </row>
    <row r="4580" spans="1:38" x14ac:dyDescent="0.2">
      <c r="A4580" s="2">
        <v>2026</v>
      </c>
      <c r="B4580" s="2">
        <v>8</v>
      </c>
      <c r="C4580" s="2" t="s">
        <v>3510</v>
      </c>
      <c r="D4580" s="2" t="s">
        <v>816</v>
      </c>
      <c r="E4580" s="2" t="s">
        <v>38</v>
      </c>
      <c r="F4580" s="2" t="s">
        <v>39</v>
      </c>
      <c r="L4580" s="2" t="s">
        <v>480</v>
      </c>
      <c r="M4580" s="2" t="s">
        <v>40</v>
      </c>
      <c r="P4580" s="2" t="s">
        <v>40</v>
      </c>
      <c r="Q4580" s="2" t="s">
        <v>140</v>
      </c>
      <c r="R4580" s="2" t="s">
        <v>141</v>
      </c>
      <c r="S4580" s="13">
        <v>-2</v>
      </c>
      <c r="T4580" s="14">
        <v>-179.8</v>
      </c>
      <c r="U4580" s="2">
        <f t="shared" si="813"/>
        <v>-41.354000000000006</v>
      </c>
      <c r="V4580" s="2">
        <f t="shared" si="814"/>
        <v>-221.15400000000002</v>
      </c>
      <c r="X4580" s="18"/>
      <c r="Z4580" s="2" t="s">
        <v>119</v>
      </c>
      <c r="AA4580" s="2" t="s">
        <v>142</v>
      </c>
      <c r="AK4580" s="2">
        <f t="shared" si="817"/>
        <v>-179.8</v>
      </c>
      <c r="AL4580" s="18"/>
    </row>
    <row r="4581" spans="1:38" x14ac:dyDescent="0.2">
      <c r="A4581" s="2">
        <v>2026</v>
      </c>
      <c r="B4581" s="2">
        <v>8</v>
      </c>
      <c r="C4581" s="2" t="s">
        <v>3510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72</v>
      </c>
      <c r="Q4581" s="2" t="s">
        <v>557</v>
      </c>
      <c r="R4581" s="2" t="s">
        <v>307</v>
      </c>
      <c r="S4581" s="13">
        <v>1</v>
      </c>
      <c r="T4581" s="14">
        <v>230</v>
      </c>
      <c r="U4581" s="2">
        <f t="shared" si="813"/>
        <v>52.900000000000006</v>
      </c>
      <c r="V4581" s="2">
        <f t="shared" si="814"/>
        <v>282.89999999999998</v>
      </c>
      <c r="W4581" s="2">
        <v>122.446</v>
      </c>
      <c r="X4581" s="5">
        <f t="shared" si="811"/>
        <v>0.46762608695652175</v>
      </c>
      <c r="Z4581" s="2" t="s">
        <v>3226</v>
      </c>
      <c r="AA4581" s="2" t="s">
        <v>75</v>
      </c>
      <c r="AB4581" s="2" t="s">
        <v>76</v>
      </c>
      <c r="AC4581" s="2" t="s">
        <v>77</v>
      </c>
      <c r="AK4581" s="2">
        <f t="shared" si="817"/>
        <v>107.554</v>
      </c>
      <c r="AL4581" s="34">
        <f t="shared" si="818"/>
        <v>0.46762608695652175</v>
      </c>
    </row>
    <row r="4582" spans="1:38" x14ac:dyDescent="0.2">
      <c r="A4582" s="2">
        <v>2026</v>
      </c>
      <c r="B4582" s="2">
        <v>8</v>
      </c>
      <c r="C4582" s="2" t="s">
        <v>3510</v>
      </c>
      <c r="D4582" s="2" t="s">
        <v>476</v>
      </c>
      <c r="E4582" s="2" t="s">
        <v>108</v>
      </c>
      <c r="F4582" s="2" t="s">
        <v>477</v>
      </c>
      <c r="G4582" s="2">
        <v>500864365</v>
      </c>
      <c r="H4582" s="2" t="s">
        <v>41</v>
      </c>
      <c r="I4582" s="2" t="s">
        <v>478</v>
      </c>
      <c r="J4582" s="2" t="s">
        <v>479</v>
      </c>
      <c r="L4582" s="2" t="s">
        <v>480</v>
      </c>
      <c r="M4582" s="2" t="s">
        <v>80</v>
      </c>
      <c r="P4582" s="2" t="s">
        <v>93</v>
      </c>
      <c r="Q4582" s="2" t="s">
        <v>94</v>
      </c>
      <c r="R4582" s="2" t="s">
        <v>95</v>
      </c>
      <c r="S4582" s="13">
        <v>1</v>
      </c>
      <c r="T4582" s="14">
        <v>1.48</v>
      </c>
      <c r="U4582" s="2">
        <f t="shared" si="813"/>
        <v>0.34040000000000004</v>
      </c>
      <c r="V4582" s="2">
        <f t="shared" si="814"/>
        <v>1.8204</v>
      </c>
      <c r="W4582" s="2">
        <v>1.48</v>
      </c>
      <c r="X4582" s="5">
        <f t="shared" si="811"/>
        <v>0</v>
      </c>
      <c r="Z4582" s="2" t="s">
        <v>3226</v>
      </c>
      <c r="AA4582" s="2" t="s">
        <v>96</v>
      </c>
      <c r="AB4582" s="2" t="s">
        <v>76</v>
      </c>
      <c r="AC4582" s="2" t="s">
        <v>93</v>
      </c>
      <c r="AK4582" s="2">
        <f t="shared" si="817"/>
        <v>0</v>
      </c>
      <c r="AL4582" s="34">
        <f t="shared" si="818"/>
        <v>0</v>
      </c>
    </row>
    <row r="4583" spans="1:38" x14ac:dyDescent="0.2">
      <c r="A4583" s="2">
        <v>2026</v>
      </c>
      <c r="B4583" s="2">
        <v>8</v>
      </c>
      <c r="C4583" s="2" t="s">
        <v>3510</v>
      </c>
      <c r="D4583" s="2" t="s">
        <v>3337</v>
      </c>
      <c r="E4583" s="2" t="s">
        <v>38</v>
      </c>
      <c r="F4583" s="2" t="s">
        <v>39</v>
      </c>
      <c r="L4583" s="2" t="s">
        <v>133</v>
      </c>
      <c r="M4583" s="2" t="s">
        <v>40</v>
      </c>
      <c r="P4583" s="2" t="s">
        <v>40</v>
      </c>
      <c r="Q4583" s="2" t="s">
        <v>140</v>
      </c>
      <c r="R4583" s="2" t="s">
        <v>141</v>
      </c>
      <c r="S4583" s="13">
        <v>-5</v>
      </c>
      <c r="T4583" s="14">
        <v>-1124.74</v>
      </c>
      <c r="U4583" s="2">
        <f t="shared" si="813"/>
        <v>-258.6902</v>
      </c>
      <c r="V4583" s="2">
        <f t="shared" si="814"/>
        <v>-1383.4302</v>
      </c>
      <c r="X4583" s="18"/>
      <c r="Z4583" s="2" t="s">
        <v>119</v>
      </c>
      <c r="AA4583" s="2" t="s">
        <v>142</v>
      </c>
      <c r="AK4583" s="2">
        <f t="shared" si="817"/>
        <v>-1124.74</v>
      </c>
      <c r="AL4583" s="18"/>
    </row>
    <row r="4584" spans="1:38" x14ac:dyDescent="0.2">
      <c r="A4584" s="2">
        <v>2026</v>
      </c>
      <c r="B4584" s="2">
        <v>8</v>
      </c>
      <c r="C4584" s="2" t="s">
        <v>3510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72</v>
      </c>
      <c r="Q4584" s="2" t="s">
        <v>301</v>
      </c>
      <c r="R4584" s="2" t="s">
        <v>74</v>
      </c>
      <c r="S4584" s="13">
        <v>1</v>
      </c>
      <c r="T4584" s="14">
        <v>230</v>
      </c>
      <c r="U4584" s="2">
        <f t="shared" si="813"/>
        <v>52.900000000000006</v>
      </c>
      <c r="V4584" s="2">
        <f t="shared" si="814"/>
        <v>282.89999999999998</v>
      </c>
      <c r="W4584" s="2">
        <f>123.48+12.2</f>
        <v>135.68</v>
      </c>
      <c r="X4584" s="5">
        <f t="shared" si="811"/>
        <v>0.4100869565217391</v>
      </c>
      <c r="Z4584" s="2" t="s">
        <v>3226</v>
      </c>
      <c r="AA4584" s="2" t="s">
        <v>75</v>
      </c>
      <c r="AB4584" s="2" t="s">
        <v>76</v>
      </c>
      <c r="AC4584" s="2" t="s">
        <v>77</v>
      </c>
      <c r="AK4584" s="2">
        <f t="shared" si="817"/>
        <v>94.32</v>
      </c>
      <c r="AL4584" s="34">
        <f t="shared" si="818"/>
        <v>0.4100869565217391</v>
      </c>
    </row>
    <row r="4585" spans="1:38" x14ac:dyDescent="0.2">
      <c r="A4585" s="2">
        <v>2026</v>
      </c>
      <c r="B4585" s="2">
        <v>8</v>
      </c>
      <c r="C4585" s="2" t="s">
        <v>3510</v>
      </c>
      <c r="D4585" s="2" t="s">
        <v>2536</v>
      </c>
      <c r="E4585" s="2" t="s">
        <v>38</v>
      </c>
      <c r="F4585" s="2" t="s">
        <v>39</v>
      </c>
      <c r="L4585" s="2" t="s">
        <v>339</v>
      </c>
      <c r="M4585" s="2" t="s">
        <v>80</v>
      </c>
      <c r="P4585" s="2" t="s">
        <v>93</v>
      </c>
      <c r="Q4585" s="2" t="s">
        <v>94</v>
      </c>
      <c r="R4585" s="2" t="s">
        <v>95</v>
      </c>
      <c r="S4585" s="13">
        <v>1</v>
      </c>
      <c r="T4585" s="14">
        <v>1.48</v>
      </c>
      <c r="U4585" s="2">
        <f t="shared" si="813"/>
        <v>0.34040000000000004</v>
      </c>
      <c r="V4585" s="2">
        <f t="shared" si="814"/>
        <v>1.8204</v>
      </c>
      <c r="W4585" s="2">
        <v>1.48</v>
      </c>
      <c r="X4585" s="5">
        <f t="shared" si="811"/>
        <v>0</v>
      </c>
      <c r="Z4585" s="2" t="s">
        <v>3226</v>
      </c>
      <c r="AA4585" s="2" t="s">
        <v>96</v>
      </c>
      <c r="AB4585" s="2" t="s">
        <v>76</v>
      </c>
      <c r="AC4585" s="2" t="s">
        <v>93</v>
      </c>
      <c r="AK4585" s="2">
        <f t="shared" si="817"/>
        <v>0</v>
      </c>
      <c r="AL4585" s="34">
        <f t="shared" si="818"/>
        <v>0</v>
      </c>
    </row>
    <row r="4586" spans="1:38" x14ac:dyDescent="0.2">
      <c r="A4586" s="2">
        <v>2026</v>
      </c>
      <c r="B4586" s="2">
        <v>8</v>
      </c>
      <c r="C4586" s="2" t="s">
        <v>3510</v>
      </c>
      <c r="D4586" s="2" t="s">
        <v>530</v>
      </c>
      <c r="E4586" s="2" t="s">
        <v>108</v>
      </c>
      <c r="F4586" s="2" t="s">
        <v>531</v>
      </c>
      <c r="G4586" s="2">
        <v>502139552</v>
      </c>
      <c r="H4586" s="2" t="s">
        <v>40</v>
      </c>
      <c r="I4586" s="2" t="s">
        <v>339</v>
      </c>
      <c r="J4586" s="2" t="s">
        <v>532</v>
      </c>
      <c r="L4586" s="2" t="s">
        <v>339</v>
      </c>
      <c r="M4586" s="2" t="s">
        <v>40</v>
      </c>
      <c r="P4586" s="2" t="s">
        <v>40</v>
      </c>
      <c r="Q4586" s="2" t="s">
        <v>140</v>
      </c>
      <c r="R4586" s="2" t="s">
        <v>141</v>
      </c>
      <c r="S4586" s="13">
        <v>-1</v>
      </c>
      <c r="T4586" s="14">
        <v>-25.69</v>
      </c>
      <c r="U4586" s="2">
        <f t="shared" si="813"/>
        <v>-5.9087000000000005</v>
      </c>
      <c r="V4586" s="2">
        <f t="shared" si="814"/>
        <v>-31.598700000000001</v>
      </c>
      <c r="X4586" s="18"/>
      <c r="Z4586" s="2" t="s">
        <v>119</v>
      </c>
      <c r="AA4586" s="2" t="s">
        <v>142</v>
      </c>
      <c r="AK4586" s="2">
        <f t="shared" si="817"/>
        <v>-25.69</v>
      </c>
      <c r="AL4586" s="18"/>
    </row>
    <row r="4587" spans="1:38" x14ac:dyDescent="0.2">
      <c r="A4587" s="2">
        <v>2026</v>
      </c>
      <c r="B4587" s="2">
        <v>8</v>
      </c>
      <c r="C4587" s="2" t="s">
        <v>3510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72</v>
      </c>
      <c r="Q4587" s="2" t="s">
        <v>306</v>
      </c>
      <c r="R4587" s="2" t="s">
        <v>307</v>
      </c>
      <c r="S4587" s="13">
        <v>-1</v>
      </c>
      <c r="T4587" s="14">
        <v>-230</v>
      </c>
      <c r="U4587" s="2">
        <f t="shared" si="813"/>
        <v>-52.900000000000006</v>
      </c>
      <c r="V4587" s="2">
        <f t="shared" si="814"/>
        <v>-282.89999999999998</v>
      </c>
      <c r="W4587" s="2">
        <v>134.57</v>
      </c>
      <c r="X4587" s="18">
        <f>SIGN(T4587)*((ABS(T4587)-W4587)/ABS(T4587))</f>
        <v>-0.41491304347826091</v>
      </c>
      <c r="Z4587" s="2" t="s">
        <v>3226</v>
      </c>
      <c r="AA4587" s="2" t="s">
        <v>75</v>
      </c>
      <c r="AB4587" s="2" t="s">
        <v>76</v>
      </c>
      <c r="AC4587" s="2" t="s">
        <v>77</v>
      </c>
      <c r="AK4587" s="2">
        <f t="shared" si="817"/>
        <v>-364.57</v>
      </c>
      <c r="AL4587" s="18">
        <f t="shared" ref="AL4586:AL4588" si="821">SIGN(T4587)*((ABS(T4587)-W4587)/ABS(T4587))</f>
        <v>-0.41491304347826091</v>
      </c>
    </row>
    <row r="4588" spans="1:38" x14ac:dyDescent="0.2">
      <c r="A4588" s="2">
        <v>2026</v>
      </c>
      <c r="B4588" s="2">
        <v>8</v>
      </c>
      <c r="C4588" s="2" t="s">
        <v>3510</v>
      </c>
      <c r="D4588" s="2" t="s">
        <v>1622</v>
      </c>
      <c r="E4588" s="2" t="s">
        <v>108</v>
      </c>
      <c r="F4588" s="2" t="s">
        <v>477</v>
      </c>
      <c r="G4588" s="2">
        <v>504161342</v>
      </c>
      <c r="H4588" s="2" t="s">
        <v>290</v>
      </c>
      <c r="I4588" s="2" t="s">
        <v>1623</v>
      </c>
      <c r="J4588" s="2" t="s">
        <v>1624</v>
      </c>
      <c r="L4588" s="2" t="s">
        <v>293</v>
      </c>
      <c r="M4588" s="2" t="s">
        <v>40</v>
      </c>
      <c r="P4588" s="2" t="s">
        <v>93</v>
      </c>
      <c r="Q4588" s="2" t="s">
        <v>94</v>
      </c>
      <c r="R4588" s="2" t="s">
        <v>95</v>
      </c>
      <c r="S4588" s="13">
        <v>-1</v>
      </c>
      <c r="T4588" s="14">
        <v>-1.48</v>
      </c>
      <c r="U4588" s="2">
        <f t="shared" si="813"/>
        <v>-0.34040000000000004</v>
      </c>
      <c r="V4588" s="2">
        <f t="shared" si="814"/>
        <v>-1.8204</v>
      </c>
      <c r="W4588" s="2">
        <v>1.48</v>
      </c>
      <c r="X4588" s="18">
        <f>SIGN(T4588)*((ABS(T4588)-W4588)/ABS(T4588))</f>
        <v>0</v>
      </c>
      <c r="Z4588" s="2" t="s">
        <v>3226</v>
      </c>
      <c r="AA4588" s="2" t="s">
        <v>96</v>
      </c>
      <c r="AB4588" s="2" t="s">
        <v>76</v>
      </c>
      <c r="AC4588" s="2" t="s">
        <v>93</v>
      </c>
      <c r="AK4588" s="2">
        <f t="shared" si="817"/>
        <v>-2.96</v>
      </c>
      <c r="AL4588" s="18">
        <f t="shared" si="821"/>
        <v>0</v>
      </c>
    </row>
    <row r="4589" spans="1:38" x14ac:dyDescent="0.2">
      <c r="A4589" s="2">
        <v>2026</v>
      </c>
      <c r="B4589" s="2">
        <v>8</v>
      </c>
      <c r="C4589" s="2" t="s">
        <v>3510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2486</v>
      </c>
      <c r="R4589" s="2" t="s">
        <v>2487</v>
      </c>
      <c r="S4589" s="13">
        <v>1</v>
      </c>
      <c r="T4589" s="14">
        <v>225.71</v>
      </c>
      <c r="U4589" s="2">
        <f t="shared" si="813"/>
        <v>51.913300000000007</v>
      </c>
      <c r="V4589" s="2">
        <f t="shared" si="814"/>
        <v>277.62330000000003</v>
      </c>
      <c r="W4589" s="2">
        <v>102.88249999999999</v>
      </c>
      <c r="X4589" s="5">
        <f t="shared" si="811"/>
        <v>0.54418280093925842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17"/>
        <v>122.82750000000001</v>
      </c>
      <c r="AL4589" s="34">
        <f t="shared" si="818"/>
        <v>0.54418280093925842</v>
      </c>
    </row>
    <row r="4590" spans="1:38" x14ac:dyDescent="0.2">
      <c r="A4590" s="2">
        <v>2026</v>
      </c>
      <c r="B4590" s="2">
        <v>8</v>
      </c>
      <c r="C4590" s="2" t="s">
        <v>3510</v>
      </c>
      <c r="D4590" s="2" t="s">
        <v>582</v>
      </c>
      <c r="E4590" s="2" t="s">
        <v>108</v>
      </c>
      <c r="F4590" s="2" t="s">
        <v>39</v>
      </c>
      <c r="G4590" s="2">
        <v>503850276</v>
      </c>
      <c r="H4590" s="2" t="s">
        <v>40</v>
      </c>
      <c r="I4590" s="2" t="s">
        <v>583</v>
      </c>
      <c r="J4590" s="2" t="s">
        <v>584</v>
      </c>
      <c r="L4590" s="2" t="s">
        <v>201</v>
      </c>
      <c r="M4590" s="2" t="s">
        <v>40</v>
      </c>
      <c r="P4590" s="2" t="s">
        <v>114</v>
      </c>
      <c r="Q4590" s="2" t="s">
        <v>2489</v>
      </c>
      <c r="R4590" s="2" t="s">
        <v>2490</v>
      </c>
      <c r="S4590" s="13">
        <v>1</v>
      </c>
      <c r="T4590" s="14">
        <v>29.77</v>
      </c>
      <c r="U4590" s="2">
        <f t="shared" si="813"/>
        <v>6.8471000000000002</v>
      </c>
      <c r="V4590" s="2">
        <f t="shared" si="814"/>
        <v>36.617100000000001</v>
      </c>
      <c r="W4590" s="2">
        <v>15</v>
      </c>
      <c r="X4590" s="5">
        <f t="shared" si="811"/>
        <v>0.49613705072220354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17"/>
        <v>14.77</v>
      </c>
      <c r="AL4590" s="34">
        <f t="shared" si="818"/>
        <v>0.49613705072220354</v>
      </c>
    </row>
    <row r="4591" spans="1:38" x14ac:dyDescent="0.2">
      <c r="A4591" s="2">
        <v>2026</v>
      </c>
      <c r="B4591" s="2">
        <v>8</v>
      </c>
      <c r="C4591" s="2" t="s">
        <v>3510</v>
      </c>
      <c r="D4591" s="2" t="s">
        <v>3513</v>
      </c>
      <c r="E4591" s="2" t="s">
        <v>3418</v>
      </c>
      <c r="F4591" s="2" t="s">
        <v>3419</v>
      </c>
      <c r="L4591" s="2" t="s">
        <v>2438</v>
      </c>
      <c r="M4591" s="2" t="s">
        <v>40</v>
      </c>
      <c r="P4591" s="2" t="s">
        <v>114</v>
      </c>
      <c r="Q4591" s="2" t="s">
        <v>3357</v>
      </c>
      <c r="R4591" s="2" t="s">
        <v>1100</v>
      </c>
      <c r="S4591" s="13">
        <v>1</v>
      </c>
      <c r="T4591" s="14">
        <v>105.42</v>
      </c>
      <c r="U4591" s="2">
        <f t="shared" si="813"/>
        <v>24.246600000000001</v>
      </c>
      <c r="V4591" s="2">
        <f t="shared" si="814"/>
        <v>129.66660000000002</v>
      </c>
      <c r="W4591" s="2">
        <f>49.96+0.65</f>
        <v>50.61</v>
      </c>
      <c r="X4591" s="5">
        <f t="shared" si="811"/>
        <v>0.51992031872509958</v>
      </c>
      <c r="Z4591" s="2" t="s">
        <v>117</v>
      </c>
      <c r="AA4591" s="2" t="s">
        <v>118</v>
      </c>
      <c r="AB4591" s="2" t="s">
        <v>119</v>
      </c>
      <c r="AC4591" s="2" t="s">
        <v>114</v>
      </c>
      <c r="AK4591" s="2">
        <f t="shared" si="817"/>
        <v>54.81</v>
      </c>
      <c r="AL4591" s="34">
        <f t="shared" si="818"/>
        <v>0.51992031872509958</v>
      </c>
    </row>
    <row r="4592" spans="1:38" x14ac:dyDescent="0.2">
      <c r="A4592" s="2">
        <v>2026</v>
      </c>
      <c r="B4592" s="2">
        <v>8</v>
      </c>
      <c r="C4592" s="2" t="s">
        <v>3510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188</v>
      </c>
      <c r="R4592" s="2" t="s">
        <v>189</v>
      </c>
      <c r="S4592" s="13">
        <v>-1</v>
      </c>
      <c r="T4592" s="14">
        <v>-52</v>
      </c>
      <c r="U4592" s="2">
        <f t="shared" si="813"/>
        <v>-11.96</v>
      </c>
      <c r="V4592" s="2">
        <f t="shared" si="814"/>
        <v>-63.96</v>
      </c>
      <c r="W4592" s="2">
        <f>52*40%</f>
        <v>20.8</v>
      </c>
      <c r="X4592" s="18">
        <f t="shared" ref="X4592:X4610" si="822">SIGN(T4592)*((ABS(T4592)-W4592)/ABS(T4592))</f>
        <v>-0.6</v>
      </c>
      <c r="Z4592" s="2" t="s">
        <v>117</v>
      </c>
      <c r="AA4592" s="2" t="s">
        <v>190</v>
      </c>
      <c r="AB4592" s="2" t="s">
        <v>189</v>
      </c>
      <c r="AC4592" s="2" t="s">
        <v>40</v>
      </c>
      <c r="AK4592" s="2">
        <f t="shared" si="817"/>
        <v>-72.8</v>
      </c>
      <c r="AL4592" s="18">
        <f t="shared" ref="AL4592:AL4593" si="823">SIGN(T4592)*((ABS(T4592)-W4592)/ABS(T4592))</f>
        <v>-0.6</v>
      </c>
    </row>
    <row r="4593" spans="1:38" x14ac:dyDescent="0.2">
      <c r="A4593" s="2">
        <v>2026</v>
      </c>
      <c r="B4593" s="2">
        <v>8</v>
      </c>
      <c r="C4593" s="2" t="s">
        <v>3510</v>
      </c>
      <c r="D4593" s="2" t="s">
        <v>674</v>
      </c>
      <c r="E4593" s="2" t="s">
        <v>38</v>
      </c>
      <c r="F4593" s="2" t="s">
        <v>39</v>
      </c>
      <c r="G4593" s="2">
        <v>502616695</v>
      </c>
      <c r="H4593" s="2" t="s">
        <v>40</v>
      </c>
      <c r="I4593" s="2" t="s">
        <v>1623</v>
      </c>
      <c r="J4593" s="2" t="s">
        <v>3169</v>
      </c>
      <c r="L4593" s="2" t="s">
        <v>339</v>
      </c>
      <c r="M4593" s="2" t="s">
        <v>40</v>
      </c>
      <c r="P4593" s="2" t="s">
        <v>187</v>
      </c>
      <c r="Q4593" s="2" t="s">
        <v>191</v>
      </c>
      <c r="R4593" s="2" t="s">
        <v>190</v>
      </c>
      <c r="S4593" s="13">
        <v>-1</v>
      </c>
      <c r="T4593" s="14">
        <v>-50</v>
      </c>
      <c r="U4593" s="2">
        <f t="shared" si="813"/>
        <v>-11.5</v>
      </c>
      <c r="V4593" s="2">
        <f t="shared" si="814"/>
        <v>-61.5</v>
      </c>
      <c r="W4593" s="2">
        <f>50*50%</f>
        <v>25</v>
      </c>
      <c r="X4593" s="18">
        <f t="shared" si="822"/>
        <v>-0.5</v>
      </c>
      <c r="Z4593" s="2" t="s">
        <v>117</v>
      </c>
      <c r="AA4593" s="2" t="s">
        <v>190</v>
      </c>
      <c r="AB4593" s="2" t="s">
        <v>190</v>
      </c>
      <c r="AC4593" s="2" t="s">
        <v>40</v>
      </c>
      <c r="AK4593" s="2">
        <f t="shared" si="817"/>
        <v>-75</v>
      </c>
      <c r="AL4593" s="18">
        <f t="shared" si="823"/>
        <v>-0.5</v>
      </c>
    </row>
    <row r="4594" spans="1:38" x14ac:dyDescent="0.2">
      <c r="A4594" s="2">
        <v>2026</v>
      </c>
      <c r="B4594" s="2">
        <v>8</v>
      </c>
      <c r="C4594" s="2" t="s">
        <v>3510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1038</v>
      </c>
      <c r="Q4594" s="2" t="s">
        <v>2584</v>
      </c>
      <c r="R4594" s="2" t="s">
        <v>2585</v>
      </c>
      <c r="S4594" s="13">
        <v>1</v>
      </c>
      <c r="T4594" s="14">
        <v>230</v>
      </c>
      <c r="U4594" s="2">
        <f>T4594*23%</f>
        <v>52.900000000000006</v>
      </c>
      <c r="V4594" s="2">
        <f t="shared" si="814"/>
        <v>282.89999999999998</v>
      </c>
      <c r="W4594" s="2">
        <v>153.34</v>
      </c>
      <c r="X4594" s="18">
        <f t="shared" si="822"/>
        <v>0.33330434782608692</v>
      </c>
      <c r="Z4594" s="2" t="s">
        <v>3226</v>
      </c>
      <c r="AA4594" s="2" t="s">
        <v>75</v>
      </c>
      <c r="AB4594" s="2" t="s">
        <v>76</v>
      </c>
      <c r="AC4594" s="2" t="s">
        <v>1038</v>
      </c>
      <c r="AK4594" s="2">
        <f t="shared" ref="AK4593:AK4610" si="824">T4594-W4594</f>
        <v>76.66</v>
      </c>
      <c r="AL4594" s="34">
        <f t="shared" si="818"/>
        <v>0.33330434782608692</v>
      </c>
    </row>
    <row r="4595" spans="1:38" x14ac:dyDescent="0.2">
      <c r="A4595" s="2">
        <v>2026</v>
      </c>
      <c r="B4595" s="2">
        <v>8</v>
      </c>
      <c r="C4595" s="2" t="s">
        <v>3510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169</v>
      </c>
      <c r="Q4595" s="2" t="s">
        <v>170</v>
      </c>
      <c r="R4595" s="2" t="s">
        <v>170</v>
      </c>
      <c r="S4595" s="13">
        <v>1</v>
      </c>
      <c r="T4595" s="14">
        <v>35</v>
      </c>
      <c r="U4595" s="2">
        <f t="shared" ref="U4595:U4610" si="825">T4595*23%</f>
        <v>8.0500000000000007</v>
      </c>
      <c r="V4595" s="2">
        <f t="shared" ref="V4595:V4610" si="826">T4595+U4595</f>
        <v>43.05</v>
      </c>
      <c r="W4595" s="2">
        <v>28</v>
      </c>
      <c r="X4595" s="18">
        <f t="shared" si="822"/>
        <v>0.2</v>
      </c>
      <c r="Z4595" s="2" t="s">
        <v>169</v>
      </c>
      <c r="AA4595" s="2" t="s">
        <v>169</v>
      </c>
      <c r="AK4595" s="2">
        <f t="shared" si="824"/>
        <v>7</v>
      </c>
      <c r="AL4595" s="34">
        <f t="shared" si="818"/>
        <v>0.2</v>
      </c>
    </row>
    <row r="4596" spans="1:38" x14ac:dyDescent="0.2">
      <c r="A4596" s="2">
        <v>2026</v>
      </c>
      <c r="B4596" s="2">
        <v>8</v>
      </c>
      <c r="C4596" s="2" t="s">
        <v>3510</v>
      </c>
      <c r="D4596" s="2" t="s">
        <v>192</v>
      </c>
      <c r="E4596" s="2" t="s">
        <v>108</v>
      </c>
      <c r="F4596" s="2" t="s">
        <v>193</v>
      </c>
      <c r="G4596" s="2">
        <v>502044411</v>
      </c>
      <c r="H4596" s="2" t="s">
        <v>40</v>
      </c>
      <c r="I4596" s="2" t="s">
        <v>156</v>
      </c>
      <c r="J4596" s="2" t="s">
        <v>194</v>
      </c>
      <c r="L4596" s="2" t="s">
        <v>99</v>
      </c>
      <c r="M4596" s="2" t="s">
        <v>80</v>
      </c>
      <c r="P4596" s="2" t="s">
        <v>93</v>
      </c>
      <c r="Q4596" s="2" t="s">
        <v>94</v>
      </c>
      <c r="R4596" s="2" t="s">
        <v>95</v>
      </c>
      <c r="S4596" s="13">
        <v>1</v>
      </c>
      <c r="T4596" s="14">
        <v>1.48</v>
      </c>
      <c r="U4596" s="2">
        <f t="shared" si="825"/>
        <v>0.34040000000000004</v>
      </c>
      <c r="V4596" s="2">
        <f t="shared" si="826"/>
        <v>1.8204</v>
      </c>
      <c r="W4596" s="2">
        <v>1.48</v>
      </c>
      <c r="X4596" s="18">
        <f t="shared" si="822"/>
        <v>0</v>
      </c>
      <c r="Z4596" s="2" t="s">
        <v>3226</v>
      </c>
      <c r="AA4596" s="2" t="s">
        <v>96</v>
      </c>
      <c r="AB4596" s="2" t="s">
        <v>76</v>
      </c>
      <c r="AC4596" s="2" t="s">
        <v>93</v>
      </c>
      <c r="AK4596" s="2">
        <f t="shared" si="824"/>
        <v>0</v>
      </c>
      <c r="AL4596" s="34">
        <f t="shared" si="818"/>
        <v>0</v>
      </c>
    </row>
    <row r="4597" spans="1:38" x14ac:dyDescent="0.2">
      <c r="A4597" s="2">
        <v>2026</v>
      </c>
      <c r="B4597" s="2">
        <v>8</v>
      </c>
      <c r="C4597" s="2" t="s">
        <v>3510</v>
      </c>
      <c r="D4597" s="2" t="s">
        <v>1355</v>
      </c>
      <c r="E4597" s="2" t="s">
        <v>752</v>
      </c>
      <c r="F4597" s="2" t="s">
        <v>39</v>
      </c>
      <c r="G4597" s="2">
        <v>518238334</v>
      </c>
      <c r="H4597" s="2" t="s">
        <v>41</v>
      </c>
      <c r="I4597" s="2" t="s">
        <v>762</v>
      </c>
      <c r="J4597" s="2" t="s">
        <v>1356</v>
      </c>
      <c r="L4597" s="2" t="s">
        <v>418</v>
      </c>
      <c r="M4597" s="2" t="s">
        <v>41</v>
      </c>
      <c r="P4597" s="2" t="s">
        <v>68</v>
      </c>
      <c r="Q4597" s="2" t="s">
        <v>266</v>
      </c>
      <c r="R4597" s="2" t="s">
        <v>267</v>
      </c>
      <c r="S4597" s="13">
        <v>2</v>
      </c>
      <c r="T4597" s="14">
        <v>64</v>
      </c>
      <c r="U4597" s="2">
        <f t="shared" si="825"/>
        <v>14.72</v>
      </c>
      <c r="V4597" s="2">
        <f t="shared" si="826"/>
        <v>78.72</v>
      </c>
      <c r="W4597" s="2">
        <f>11.34*S4597</f>
        <v>22.68</v>
      </c>
      <c r="X4597" s="18">
        <f t="shared" si="822"/>
        <v>0.645625</v>
      </c>
      <c r="Z4597" s="2" t="s">
        <v>3226</v>
      </c>
      <c r="AA4597" s="2" t="s">
        <v>71</v>
      </c>
      <c r="AB4597" s="2" t="s">
        <v>68</v>
      </c>
      <c r="AC4597" s="2" t="s">
        <v>3516</v>
      </c>
      <c r="AK4597" s="2">
        <f t="shared" si="824"/>
        <v>41.32</v>
      </c>
      <c r="AL4597" s="34">
        <f t="shared" si="818"/>
        <v>0.645625</v>
      </c>
    </row>
    <row r="4598" spans="1:38" x14ac:dyDescent="0.2">
      <c r="A4598" s="2">
        <v>2026</v>
      </c>
      <c r="B4598" s="2">
        <v>8</v>
      </c>
      <c r="C4598" s="2" t="s">
        <v>3510</v>
      </c>
      <c r="D4598" s="2" t="s">
        <v>3494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72</v>
      </c>
      <c r="Q4598" s="2" t="s">
        <v>73</v>
      </c>
      <c r="R4598" s="2" t="s">
        <v>74</v>
      </c>
      <c r="S4598" s="13">
        <v>1</v>
      </c>
      <c r="T4598" s="14">
        <v>230</v>
      </c>
      <c r="U4598" s="2">
        <f t="shared" si="825"/>
        <v>52.900000000000006</v>
      </c>
      <c r="V4598" s="2">
        <f t="shared" si="826"/>
        <v>282.89999999999998</v>
      </c>
      <c r="W4598" s="2">
        <v>133.4616</v>
      </c>
      <c r="X4598" s="18">
        <f t="shared" si="822"/>
        <v>0.41973217391304346</v>
      </c>
      <c r="Z4598" s="2" t="s">
        <v>3226</v>
      </c>
      <c r="AA4598" s="2" t="s">
        <v>75</v>
      </c>
      <c r="AB4598" s="2" t="s">
        <v>76</v>
      </c>
      <c r="AC4598" s="2" t="s">
        <v>77</v>
      </c>
      <c r="AK4598" s="2">
        <f t="shared" si="824"/>
        <v>96.538399999999996</v>
      </c>
      <c r="AL4598" s="34">
        <f t="shared" si="818"/>
        <v>0.41973217391304346</v>
      </c>
    </row>
    <row r="4599" spans="1:38" x14ac:dyDescent="0.2">
      <c r="A4599" s="2">
        <v>2026</v>
      </c>
      <c r="B4599" s="2">
        <v>8</v>
      </c>
      <c r="C4599" s="2" t="s">
        <v>3510</v>
      </c>
      <c r="D4599" s="2" t="s">
        <v>3494</v>
      </c>
      <c r="E4599" s="2" t="s">
        <v>38</v>
      </c>
      <c r="F4599" s="2" t="s">
        <v>39</v>
      </c>
      <c r="L4599" s="2" t="s">
        <v>201</v>
      </c>
      <c r="M4599" s="2" t="s">
        <v>80</v>
      </c>
      <c r="P4599" s="2" t="s">
        <v>93</v>
      </c>
      <c r="Q4599" s="2" t="s">
        <v>94</v>
      </c>
      <c r="R4599" s="2" t="s">
        <v>95</v>
      </c>
      <c r="S4599" s="13">
        <v>1</v>
      </c>
      <c r="T4599" s="14">
        <v>1.48</v>
      </c>
      <c r="U4599" s="2">
        <f t="shared" si="825"/>
        <v>0.34040000000000004</v>
      </c>
      <c r="V4599" s="2">
        <f t="shared" si="826"/>
        <v>1.8204</v>
      </c>
      <c r="W4599" s="2">
        <v>1.48</v>
      </c>
      <c r="X4599" s="18">
        <f t="shared" si="822"/>
        <v>0</v>
      </c>
      <c r="Z4599" s="2" t="s">
        <v>3226</v>
      </c>
      <c r="AA4599" s="2" t="s">
        <v>96</v>
      </c>
      <c r="AB4599" s="2" t="s">
        <v>76</v>
      </c>
      <c r="AC4599" s="2" t="s">
        <v>93</v>
      </c>
      <c r="AK4599" s="2">
        <f t="shared" si="824"/>
        <v>0</v>
      </c>
      <c r="AL4599" s="34">
        <f t="shared" si="818"/>
        <v>0</v>
      </c>
    </row>
    <row r="4600" spans="1:38" x14ac:dyDescent="0.2">
      <c r="A4600" s="2">
        <v>2026</v>
      </c>
      <c r="B4600" s="2">
        <v>8</v>
      </c>
      <c r="C4600" s="2" t="s">
        <v>3510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1038</v>
      </c>
      <c r="Q4600" s="2" t="s">
        <v>2582</v>
      </c>
      <c r="R4600" s="2" t="s">
        <v>2583</v>
      </c>
      <c r="S4600" s="13">
        <v>1</v>
      </c>
      <c r="T4600" s="14">
        <v>232.8</v>
      </c>
      <c r="U4600" s="2">
        <f t="shared" si="825"/>
        <v>53.544000000000004</v>
      </c>
      <c r="V4600" s="2">
        <f t="shared" si="826"/>
        <v>286.34399999999999</v>
      </c>
      <c r="W4600" s="2">
        <v>128.99</v>
      </c>
      <c r="X4600" s="18">
        <f t="shared" si="822"/>
        <v>0.44591924398625427</v>
      </c>
      <c r="Z4600" s="2" t="s">
        <v>3226</v>
      </c>
      <c r="AA4600" s="2" t="s">
        <v>75</v>
      </c>
      <c r="AB4600" s="2" t="s">
        <v>76</v>
      </c>
      <c r="AC4600" s="2" t="s">
        <v>1038</v>
      </c>
      <c r="AK4600" s="2">
        <f t="shared" si="824"/>
        <v>103.81</v>
      </c>
      <c r="AL4600" s="34">
        <f t="shared" si="818"/>
        <v>0.44591924398625427</v>
      </c>
    </row>
    <row r="4601" spans="1:38" x14ac:dyDescent="0.2">
      <c r="A4601" s="2">
        <v>2026</v>
      </c>
      <c r="B4601" s="2">
        <v>8</v>
      </c>
      <c r="C4601" s="2" t="s">
        <v>3510</v>
      </c>
      <c r="D4601" s="2" t="s">
        <v>428</v>
      </c>
      <c r="E4601" s="2" t="s">
        <v>38</v>
      </c>
      <c r="F4601" s="2" t="s">
        <v>39</v>
      </c>
      <c r="G4601" s="2">
        <v>500820384</v>
      </c>
      <c r="H4601" s="2" t="s">
        <v>40</v>
      </c>
      <c r="I4601" s="2" t="s">
        <v>429</v>
      </c>
      <c r="J4601" s="2" t="s">
        <v>430</v>
      </c>
      <c r="L4601" s="2" t="s">
        <v>99</v>
      </c>
      <c r="M4601" s="2" t="s">
        <v>80</v>
      </c>
      <c r="P4601" s="2" t="s">
        <v>93</v>
      </c>
      <c r="Q4601" s="2" t="s">
        <v>94</v>
      </c>
      <c r="R4601" s="2" t="s">
        <v>95</v>
      </c>
      <c r="S4601" s="13">
        <v>1</v>
      </c>
      <c r="T4601" s="14">
        <v>1.48</v>
      </c>
      <c r="U4601" s="2">
        <f t="shared" si="825"/>
        <v>0.34040000000000004</v>
      </c>
      <c r="V4601" s="2">
        <f t="shared" si="826"/>
        <v>1.8204</v>
      </c>
      <c r="W4601" s="2">
        <v>1.48</v>
      </c>
      <c r="X4601" s="18">
        <f t="shared" si="822"/>
        <v>0</v>
      </c>
      <c r="Z4601" s="2" t="s">
        <v>3226</v>
      </c>
      <c r="AA4601" s="2" t="s">
        <v>96</v>
      </c>
      <c r="AB4601" s="2" t="s">
        <v>76</v>
      </c>
      <c r="AC4601" s="2" t="s">
        <v>93</v>
      </c>
      <c r="AK4601" s="2">
        <f t="shared" si="824"/>
        <v>0</v>
      </c>
      <c r="AL4601" s="34">
        <f t="shared" si="818"/>
        <v>0</v>
      </c>
    </row>
    <row r="4602" spans="1:38" x14ac:dyDescent="0.2">
      <c r="A4602" s="2">
        <v>2026</v>
      </c>
      <c r="B4602" s="2">
        <v>8</v>
      </c>
      <c r="C4602" s="2" t="s">
        <v>3510</v>
      </c>
      <c r="D4602" s="2" t="s">
        <v>2904</v>
      </c>
      <c r="E4602" s="2" t="s">
        <v>38</v>
      </c>
      <c r="F4602" s="2" t="s">
        <v>3444</v>
      </c>
      <c r="L4602" s="2" t="s">
        <v>99</v>
      </c>
      <c r="M4602" s="2" t="s">
        <v>40</v>
      </c>
      <c r="P4602" s="2" t="s">
        <v>187</v>
      </c>
      <c r="Q4602" s="2" t="s">
        <v>191</v>
      </c>
      <c r="R4602" s="2" t="s">
        <v>190</v>
      </c>
      <c r="S4602" s="13">
        <v>2</v>
      </c>
      <c r="T4602" s="14">
        <v>78</v>
      </c>
      <c r="U4602" s="2">
        <f t="shared" si="825"/>
        <v>17.940000000000001</v>
      </c>
      <c r="V4602" s="2">
        <f t="shared" si="826"/>
        <v>95.94</v>
      </c>
      <c r="W4602" s="2">
        <f>T4602*50%</f>
        <v>39</v>
      </c>
      <c r="X4602" s="18">
        <f t="shared" si="822"/>
        <v>0.5</v>
      </c>
      <c r="Y4602" s="2" t="s">
        <v>3300</v>
      </c>
      <c r="Z4602" s="2" t="s">
        <v>117</v>
      </c>
      <c r="AA4602" s="2" t="s">
        <v>190</v>
      </c>
      <c r="AB4602" s="2" t="s">
        <v>190</v>
      </c>
      <c r="AC4602" s="2" t="s">
        <v>40</v>
      </c>
      <c r="AK4602" s="2">
        <f t="shared" si="824"/>
        <v>39</v>
      </c>
      <c r="AL4602" s="34">
        <f t="shared" si="818"/>
        <v>0.5</v>
      </c>
    </row>
    <row r="4603" spans="1:38" x14ac:dyDescent="0.2">
      <c r="A4603" s="2">
        <v>2026</v>
      </c>
      <c r="B4603" s="2">
        <v>8</v>
      </c>
      <c r="C4603" s="2" t="s">
        <v>3510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1038</v>
      </c>
      <c r="Q4603" s="2" t="s">
        <v>1569</v>
      </c>
      <c r="R4603" s="2" t="s">
        <v>1570</v>
      </c>
      <c r="S4603" s="13">
        <v>1</v>
      </c>
      <c r="T4603" s="14">
        <v>230</v>
      </c>
      <c r="U4603" s="2">
        <f t="shared" si="825"/>
        <v>52.900000000000006</v>
      </c>
      <c r="V4603" s="2">
        <f t="shared" si="826"/>
        <v>282.89999999999998</v>
      </c>
      <c r="W4603" s="2">
        <v>119.06</v>
      </c>
      <c r="X4603" s="18">
        <f t="shared" si="822"/>
        <v>0.48234782608695653</v>
      </c>
      <c r="Z4603" s="2" t="s">
        <v>3226</v>
      </c>
      <c r="AA4603" s="2" t="s">
        <v>75</v>
      </c>
      <c r="AB4603" s="2" t="s">
        <v>76</v>
      </c>
      <c r="AC4603" s="2" t="s">
        <v>1038</v>
      </c>
      <c r="AK4603" s="2">
        <f t="shared" si="824"/>
        <v>110.94</v>
      </c>
      <c r="AL4603" s="34">
        <f t="shared" si="818"/>
        <v>0.48234782608695653</v>
      </c>
    </row>
    <row r="4604" spans="1:38" x14ac:dyDescent="0.2">
      <c r="A4604" s="2">
        <v>2026</v>
      </c>
      <c r="B4604" s="2">
        <v>8</v>
      </c>
      <c r="C4604" s="2" t="s">
        <v>3510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169</v>
      </c>
      <c r="Q4604" s="2" t="s">
        <v>170</v>
      </c>
      <c r="R4604" s="2" t="s">
        <v>170</v>
      </c>
      <c r="S4604" s="13">
        <v>1</v>
      </c>
      <c r="T4604" s="14">
        <v>17.5</v>
      </c>
      <c r="U4604" s="2">
        <f t="shared" si="825"/>
        <v>4.0250000000000004</v>
      </c>
      <c r="V4604" s="2">
        <f t="shared" si="826"/>
        <v>21.524999999999999</v>
      </c>
      <c r="W4604" s="2">
        <v>28</v>
      </c>
      <c r="X4604" s="18">
        <f t="shared" si="822"/>
        <v>-0.6</v>
      </c>
      <c r="Z4604" s="2" t="s">
        <v>169</v>
      </c>
      <c r="AA4604" s="2" t="s">
        <v>169</v>
      </c>
      <c r="AK4604" s="2">
        <f t="shared" si="824"/>
        <v>-10.5</v>
      </c>
      <c r="AL4604" s="34">
        <f t="shared" ref="AL4577:AL4610" si="827">(T4604-W4604)/T4604</f>
        <v>-0.6</v>
      </c>
    </row>
    <row r="4605" spans="1:38" x14ac:dyDescent="0.2">
      <c r="A4605" s="2">
        <v>2026</v>
      </c>
      <c r="B4605" s="2">
        <v>8</v>
      </c>
      <c r="C4605" s="2" t="s">
        <v>3510</v>
      </c>
      <c r="D4605" s="2" t="s">
        <v>1418</v>
      </c>
      <c r="E4605" s="2" t="s">
        <v>108</v>
      </c>
      <c r="F4605" s="2" t="s">
        <v>39</v>
      </c>
      <c r="G4605" s="2">
        <v>502696338</v>
      </c>
      <c r="H4605" s="2" t="s">
        <v>40</v>
      </c>
      <c r="I4605" s="2" t="s">
        <v>2411</v>
      </c>
      <c r="J4605" s="2" t="s">
        <v>2412</v>
      </c>
      <c r="L4605" s="2" t="s">
        <v>201</v>
      </c>
      <c r="M4605" s="2" t="s">
        <v>80</v>
      </c>
      <c r="P4605" s="2" t="s">
        <v>93</v>
      </c>
      <c r="Q4605" s="2" t="s">
        <v>94</v>
      </c>
      <c r="R4605" s="2" t="s">
        <v>95</v>
      </c>
      <c r="S4605" s="13">
        <v>1</v>
      </c>
      <c r="T4605" s="14">
        <v>1.48</v>
      </c>
      <c r="U4605" s="2">
        <f t="shared" si="825"/>
        <v>0.34040000000000004</v>
      </c>
      <c r="V4605" s="2">
        <f t="shared" si="826"/>
        <v>1.8204</v>
      </c>
      <c r="W4605" s="2">
        <v>1.48</v>
      </c>
      <c r="X4605" s="18">
        <f t="shared" si="822"/>
        <v>0</v>
      </c>
      <c r="Z4605" s="2" t="s">
        <v>3226</v>
      </c>
      <c r="AA4605" s="2" t="s">
        <v>96</v>
      </c>
      <c r="AB4605" s="2" t="s">
        <v>76</v>
      </c>
      <c r="AC4605" s="2" t="s">
        <v>93</v>
      </c>
      <c r="AK4605" s="2">
        <f t="shared" si="824"/>
        <v>0</v>
      </c>
      <c r="AL4605" s="5">
        <f t="shared" si="827"/>
        <v>0</v>
      </c>
    </row>
    <row r="4606" spans="1:38" x14ac:dyDescent="0.2">
      <c r="A4606" s="2">
        <v>2026</v>
      </c>
      <c r="B4606" s="2">
        <v>8</v>
      </c>
      <c r="C4606" s="2" t="s">
        <v>3510</v>
      </c>
      <c r="D4606" s="2" t="s">
        <v>889</v>
      </c>
      <c r="E4606" s="2" t="s">
        <v>108</v>
      </c>
      <c r="F4606" s="2" t="s">
        <v>39</v>
      </c>
      <c r="G4606" s="2">
        <v>507216970</v>
      </c>
      <c r="H4606" s="2" t="s">
        <v>41</v>
      </c>
      <c r="I4606" s="2" t="s">
        <v>890</v>
      </c>
      <c r="J4606" s="2" t="s">
        <v>891</v>
      </c>
      <c r="L4606" s="2" t="s">
        <v>99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25"/>
        <v>34.5</v>
      </c>
      <c r="V4606" s="2">
        <f t="shared" si="826"/>
        <v>184.5</v>
      </c>
      <c r="W4606" s="2">
        <f>10.6*S4606</f>
        <v>106</v>
      </c>
      <c r="X4606" s="18">
        <f t="shared" si="82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24"/>
        <v>44</v>
      </c>
      <c r="AL4606" s="5">
        <f t="shared" si="827"/>
        <v>0.29333333333333333</v>
      </c>
    </row>
    <row r="4607" spans="1:38" x14ac:dyDescent="0.2">
      <c r="A4607" s="2">
        <v>2026</v>
      </c>
      <c r="B4607" s="2">
        <v>8</v>
      </c>
      <c r="C4607" s="2" t="s">
        <v>3510</v>
      </c>
      <c r="D4607" s="2" t="s">
        <v>574</v>
      </c>
      <c r="E4607" s="2" t="s">
        <v>38</v>
      </c>
      <c r="F4607" s="2" t="s">
        <v>39</v>
      </c>
      <c r="G4607" s="2">
        <v>504811029</v>
      </c>
      <c r="H4607" s="2" t="s">
        <v>41</v>
      </c>
      <c r="I4607" s="2" t="s">
        <v>177</v>
      </c>
      <c r="J4607" s="2" t="s">
        <v>575</v>
      </c>
      <c r="L4607" s="2" t="s">
        <v>177</v>
      </c>
      <c r="M4607" s="2" t="s">
        <v>41</v>
      </c>
      <c r="P4607" s="2" t="s">
        <v>43</v>
      </c>
      <c r="Q4607" s="2" t="s">
        <v>54</v>
      </c>
      <c r="R4607" s="2" t="s">
        <v>55</v>
      </c>
      <c r="S4607" s="13">
        <v>10</v>
      </c>
      <c r="T4607" s="14">
        <v>150</v>
      </c>
      <c r="U4607" s="2">
        <f t="shared" si="825"/>
        <v>34.5</v>
      </c>
      <c r="V4607" s="2">
        <f t="shared" si="826"/>
        <v>184.5</v>
      </c>
      <c r="W4607" s="2">
        <f>10.6*S4607</f>
        <v>106</v>
      </c>
      <c r="X4607" s="18">
        <f t="shared" si="822"/>
        <v>0.29333333333333333</v>
      </c>
      <c r="Z4607" s="2" t="s">
        <v>3226</v>
      </c>
      <c r="AA4607" s="2" t="s">
        <v>46</v>
      </c>
      <c r="AB4607" s="2" t="s">
        <v>56</v>
      </c>
      <c r="AC4607" s="2" t="s">
        <v>57</v>
      </c>
      <c r="AK4607" s="2">
        <f t="shared" si="824"/>
        <v>44</v>
      </c>
      <c r="AL4607" s="5">
        <f t="shared" si="827"/>
        <v>0.29333333333333333</v>
      </c>
    </row>
    <row r="4608" spans="1:38" x14ac:dyDescent="0.2">
      <c r="A4608" s="2">
        <v>2026</v>
      </c>
      <c r="B4608" s="2">
        <v>8</v>
      </c>
      <c r="C4608" s="2" t="s">
        <v>3510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72</v>
      </c>
      <c r="Q4608" s="2" t="s">
        <v>346</v>
      </c>
      <c r="R4608" s="2" t="s">
        <v>74</v>
      </c>
      <c r="S4608" s="13">
        <v>1</v>
      </c>
      <c r="T4608" s="14">
        <v>220</v>
      </c>
      <c r="U4608" s="2">
        <f t="shared" si="825"/>
        <v>50.6</v>
      </c>
      <c r="V4608" s="2">
        <f t="shared" si="826"/>
        <v>270.60000000000002</v>
      </c>
      <c r="W4608" s="2">
        <f>112.39+12.01</f>
        <v>124.4</v>
      </c>
      <c r="X4608" s="18">
        <f t="shared" si="822"/>
        <v>0.43454545454545451</v>
      </c>
      <c r="Z4608" s="2" t="s">
        <v>3226</v>
      </c>
      <c r="AA4608" s="2" t="s">
        <v>75</v>
      </c>
      <c r="AB4608" s="2" t="s">
        <v>76</v>
      </c>
      <c r="AC4608" s="2" t="s">
        <v>77</v>
      </c>
      <c r="AK4608" s="2">
        <f t="shared" si="824"/>
        <v>95.6</v>
      </c>
      <c r="AL4608" s="5">
        <f t="shared" si="827"/>
        <v>0.43454545454545451</v>
      </c>
    </row>
    <row r="4609" spans="1:38" x14ac:dyDescent="0.2">
      <c r="A4609" s="2">
        <v>2026</v>
      </c>
      <c r="B4609" s="2">
        <v>8</v>
      </c>
      <c r="C4609" s="2" t="s">
        <v>3510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169</v>
      </c>
      <c r="Q4609" s="2" t="s">
        <v>170</v>
      </c>
      <c r="R4609" s="2" t="s">
        <v>170</v>
      </c>
      <c r="S4609" s="13">
        <v>1</v>
      </c>
      <c r="T4609" s="14">
        <v>35</v>
      </c>
      <c r="U4609" s="2">
        <f t="shared" si="825"/>
        <v>8.0500000000000007</v>
      </c>
      <c r="V4609" s="2">
        <f t="shared" si="826"/>
        <v>43.05</v>
      </c>
      <c r="W4609" s="2">
        <v>0</v>
      </c>
      <c r="X4609" s="18">
        <f t="shared" si="822"/>
        <v>1</v>
      </c>
      <c r="Z4609" s="2" t="s">
        <v>169</v>
      </c>
      <c r="AA4609" s="2" t="s">
        <v>169</v>
      </c>
      <c r="AK4609" s="2">
        <f t="shared" si="824"/>
        <v>35</v>
      </c>
      <c r="AL4609" s="5">
        <f t="shared" si="827"/>
        <v>1</v>
      </c>
    </row>
    <row r="4610" spans="1:38" x14ac:dyDescent="0.2">
      <c r="A4610" s="2">
        <v>2026</v>
      </c>
      <c r="B4610" s="2">
        <v>8</v>
      </c>
      <c r="C4610" s="2" t="s">
        <v>3510</v>
      </c>
      <c r="D4610" s="2" t="s">
        <v>1295</v>
      </c>
      <c r="E4610" s="2" t="s">
        <v>183</v>
      </c>
      <c r="F4610" s="2" t="s">
        <v>366</v>
      </c>
      <c r="G4610" s="2">
        <v>500625654</v>
      </c>
      <c r="H4610" s="2" t="s">
        <v>290</v>
      </c>
      <c r="I4610" s="2" t="s">
        <v>339</v>
      </c>
      <c r="J4610" s="2" t="s">
        <v>1296</v>
      </c>
      <c r="L4610" s="2" t="s">
        <v>339</v>
      </c>
      <c r="M4610" s="2" t="s">
        <v>80</v>
      </c>
      <c r="P4610" s="2" t="s">
        <v>93</v>
      </c>
      <c r="Q4610" s="2" t="s">
        <v>94</v>
      </c>
      <c r="R4610" s="2" t="s">
        <v>95</v>
      </c>
      <c r="S4610" s="13">
        <v>1</v>
      </c>
      <c r="T4610" s="14">
        <v>1.48</v>
      </c>
      <c r="U4610" s="2">
        <f t="shared" si="825"/>
        <v>0.34040000000000004</v>
      </c>
      <c r="V4610" s="2">
        <f t="shared" si="826"/>
        <v>1.8204</v>
      </c>
      <c r="W4610" s="2">
        <v>1.48</v>
      </c>
      <c r="X4610" s="18">
        <f t="shared" si="822"/>
        <v>0</v>
      </c>
      <c r="Z4610" s="2" t="s">
        <v>3226</v>
      </c>
      <c r="AA4610" s="2" t="s">
        <v>96</v>
      </c>
      <c r="AB4610" s="2" t="s">
        <v>76</v>
      </c>
      <c r="AC4610" s="2" t="s">
        <v>93</v>
      </c>
      <c r="AK4610" s="2">
        <f t="shared" si="824"/>
        <v>0</v>
      </c>
      <c r="AL4610" s="5">
        <f t="shared" si="827"/>
        <v>0</v>
      </c>
    </row>
  </sheetData>
  <autoFilter ref="A1:AL4610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2026-08-05T10:41:19Z</dcterms:modified>
</cp:coreProperties>
</file>